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harts/chart2.xml" ContentType="application/vnd.openxmlformats-officedocument.drawingml.chart+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harts/chart3.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bottl\FinancialDevelopment\Monte-Carlo-American-Pricer-Greeks\"/>
    </mc:Choice>
  </mc:AlternateContent>
  <xr:revisionPtr revIDLastSave="0" documentId="13_ncr:1_{59FB0CB6-5BEB-44F3-9A43-E8E0E4601838}" xr6:coauthVersionLast="47" xr6:coauthVersionMax="47" xr10:uidLastSave="{00000000-0000-0000-0000-000000000000}"/>
  <bookViews>
    <workbookView xWindow="-110" yWindow="-110" windowWidth="38620" windowHeight="21100" xr2:uid="{C720FC8E-6D6C-4A9E-B64B-F60A2D6C2D4F}"/>
  </bookViews>
  <sheets>
    <sheet name="2nd level " sheetId="6" r:id="rId1"/>
    <sheet name="11 OptionsNLN" sheetId="5" r:id="rId2"/>
    <sheet name="115 FuturesPrice" sheetId="4" r:id="rId3"/>
    <sheet name="12 SABRBlackVol" sheetId="3" r:id="rId4"/>
    <sheet name="13 SABROption" sheetId="2" r:id="rId5"/>
    <sheet name="14 SABRCalibrate" sheetId="1" r:id="rId6"/>
  </sheets>
  <externalReferences>
    <externalReference r:id="rId7"/>
    <externalReference r:id="rId8"/>
    <externalReference r:id="rId9"/>
  </externalReferences>
  <definedNames>
    <definedName name="_xleta.TODAY" hidden="1" xlm="1">#NAME?</definedName>
    <definedName name="AMQuotes">#REF!</definedName>
    <definedName name="bCorr">'[1]20 BasketSim'!$D$20:$G$23</definedName>
    <definedName name="ConfInterval">'[1]138 VaR Simulation'!$G$22</definedName>
    <definedName name="CSDays2">'[1]119 CorrelSim'!$J$19</definedName>
    <definedName name="CSRfR2">'[1]119 CorrelSim'!$J$18</definedName>
    <definedName name="EEDivCount">'[1]15 Early Exercise'!#REF!</definedName>
    <definedName name="EEExpiry">'[1]15 Early Exercise'!$D$13</definedName>
    <definedName name="EESpot">'[1]15 Early Exercise'!#REF!</definedName>
    <definedName name="Example2Inputs">'[1]106 Monte Carlo'!$C$32</definedName>
    <definedName name="Example3Inputs">'[1]106 Monte Carlo'!$C$45</definedName>
    <definedName name="FormatString">#REF!</definedName>
    <definedName name="FormatTable">#REF!</definedName>
    <definedName name="FuturesPrice">'115 FuturesPrice'!$A$1</definedName>
    <definedName name="GetQuotes">#REF!</definedName>
    <definedName name="HistoricData">'[1]69 Correl'!$C$24:$J$105</definedName>
    <definedName name="MarketReturn">'[1]183 EfficientFrontier'!#REF!</definedName>
    <definedName name="MFQuotes">#REF!</definedName>
    <definedName name="netquote">#REF!</definedName>
    <definedName name="NQQuotes">#REF!</definedName>
    <definedName name="OilFuturesPrices">'[1]85 OEWMA1'!$C$38:$N$190</definedName>
    <definedName name="OptionsNLN">'11 OptionsNLN'!$A$1</definedName>
    <definedName name="PCAPrices">'[1]147 PCA'!$D$44:$G$112</definedName>
    <definedName name="QuoteArea">#REF!</definedName>
    <definedName name="QuoteResults">#REF!</definedName>
    <definedName name="SABRBlackVol">'12 SABRBlackVol'!$A$1</definedName>
    <definedName name="SABRCalibrate">'14 SABRCalibrate'!#REF!</definedName>
    <definedName name="SABROption">'13 SABROption'!#REF!</definedName>
    <definedName name="Strike_Price___K">#REF!</definedName>
    <definedName name="Symbols">#REF!</definedName>
    <definedName name="VarDaysPA">'[1]138 VaR Simulation'!$G$23</definedName>
    <definedName name="VaRPeriod">'[1]138 VaR Simulation'!$G$21</definedName>
    <definedName name="YahooField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 i="6" l="1"/>
  <c r="B2" i="6" s="1"/>
  <c r="K20" i="2"/>
  <c r="L20" i="2"/>
  <c r="M20" i="2"/>
  <c r="N20" i="2"/>
  <c r="O20" i="2"/>
  <c r="P20" i="2"/>
  <c r="Q20" i="2"/>
  <c r="R20" i="2"/>
  <c r="S20" i="2"/>
  <c r="T20" i="2"/>
  <c r="U20" i="2"/>
  <c r="V20" i="2"/>
  <c r="W20" i="2"/>
  <c r="X20" i="2"/>
  <c r="Y20" i="2"/>
  <c r="Z20" i="2"/>
  <c r="AA20" i="2"/>
  <c r="AB20" i="2"/>
  <c r="AC20" i="2"/>
  <c r="AD20" i="2"/>
  <c r="AE20" i="2"/>
  <c r="AF20" i="2"/>
  <c r="AG20" i="2"/>
  <c r="AH20" i="2"/>
  <c r="AI20" i="2"/>
  <c r="AJ20" i="2"/>
  <c r="AK20" i="2"/>
  <c r="AL20" i="2"/>
  <c r="AM20" i="2"/>
  <c r="AN20" i="2"/>
  <c r="AO20" i="2"/>
  <c r="AP20" i="2"/>
  <c r="AQ20" i="2"/>
  <c r="AR20" i="2"/>
  <c r="AS20" i="2"/>
  <c r="AT20" i="2"/>
  <c r="AU20" i="2"/>
  <c r="AV20" i="2"/>
  <c r="AW20" i="2"/>
  <c r="AX20" i="2"/>
  <c r="AY20" i="2"/>
  <c r="AZ20" i="2"/>
  <c r="BA20" i="2"/>
  <c r="BB20" i="2"/>
  <c r="BC20" i="2"/>
  <c r="BD20" i="2"/>
  <c r="BE20" i="2"/>
  <c r="BF20" i="2"/>
  <c r="BG20" i="2"/>
  <c r="BH20" i="2"/>
  <c r="BI20" i="2"/>
  <c r="BJ20" i="2"/>
  <c r="BK20" i="2"/>
  <c r="BL20" i="2"/>
  <c r="BM20" i="2"/>
  <c r="BN20" i="2"/>
  <c r="BO20" i="2"/>
  <c r="BP20" i="2"/>
  <c r="BQ20" i="2"/>
  <c r="BR20" i="2"/>
  <c r="BS20" i="2"/>
  <c r="BT20" i="2"/>
  <c r="H20" i="2"/>
  <c r="I20" i="2"/>
  <c r="J20" i="2"/>
  <c r="G20" i="2"/>
  <c r="L27" i="3"/>
  <c r="M27" i="3"/>
  <c r="N27" i="3" s="1"/>
  <c r="O27" i="3" s="1"/>
  <c r="P27" i="3" s="1"/>
  <c r="Q27" i="3" s="1"/>
  <c r="R27" i="3" s="1"/>
  <c r="S27" i="3" s="1"/>
  <c r="T27" i="3" s="1"/>
  <c r="U27" i="3" s="1"/>
  <c r="V27" i="3" s="1"/>
  <c r="W27" i="3" s="1"/>
  <c r="X27" i="3" s="1"/>
  <c r="Y27" i="3" s="1"/>
  <c r="Z27" i="3" s="1"/>
  <c r="AA27" i="3" s="1"/>
  <c r="AB27" i="3" s="1"/>
  <c r="AC27" i="3" s="1"/>
  <c r="AD27" i="3" s="1"/>
  <c r="AE27" i="3" s="1"/>
  <c r="AF27" i="3" s="1"/>
  <c r="AG27" i="3" s="1"/>
  <c r="AH27" i="3" s="1"/>
  <c r="AI27" i="3" s="1"/>
  <c r="AJ27" i="3" s="1"/>
  <c r="AK27" i="3" s="1"/>
  <c r="AL27" i="3" s="1"/>
  <c r="AM27" i="3" s="1"/>
  <c r="AN27" i="3" s="1"/>
  <c r="AO27" i="3" s="1"/>
  <c r="AP27" i="3" s="1"/>
  <c r="AQ27" i="3" s="1"/>
  <c r="AR27" i="3" s="1"/>
  <c r="AS27" i="3" s="1"/>
  <c r="AT27" i="3" s="1"/>
  <c r="AU27" i="3" s="1"/>
  <c r="AV27" i="3" s="1"/>
  <c r="AW27" i="3" s="1"/>
  <c r="AX27" i="3" s="1"/>
  <c r="AY27" i="3" s="1"/>
  <c r="AZ27" i="3" s="1"/>
  <c r="BA27" i="3" s="1"/>
  <c r="BB27" i="3" s="1"/>
  <c r="BC27" i="3" s="1"/>
  <c r="BD27" i="3" s="1"/>
  <c r="BE27" i="3" s="1"/>
  <c r="BF27" i="3" s="1"/>
  <c r="BG27" i="3" s="1"/>
  <c r="BH27" i="3" s="1"/>
  <c r="BI27" i="3" s="1"/>
  <c r="BJ27" i="3" s="1"/>
  <c r="BK27" i="3" s="1"/>
  <c r="BL27" i="3" s="1"/>
  <c r="BM27" i="3" s="1"/>
  <c r="BN27" i="3" s="1"/>
  <c r="BO27" i="3" s="1"/>
  <c r="BP27" i="3" s="1"/>
  <c r="E27" i="3"/>
  <c r="F27" i="3"/>
  <c r="G27" i="3" s="1"/>
  <c r="H27" i="3" s="1"/>
  <c r="I27" i="3" s="1"/>
  <c r="J27" i="3" s="1"/>
  <c r="K27" i="3" s="1"/>
  <c r="D27" i="3"/>
  <c r="D12" i="2"/>
  <c r="D10" i="2"/>
  <c r="B8" i="6"/>
  <c r="B5" i="6"/>
  <c r="B6" i="6"/>
  <c r="B7" i="6"/>
  <c r="B3" i="6"/>
  <c r="H4" i="6" s="1"/>
  <c r="C11" i="6"/>
  <c r="D8" i="2"/>
  <c r="D17" i="2"/>
  <c r="D16" i="3" l="1"/>
  <c r="D11" i="3"/>
  <c r="D9" i="3"/>
  <c r="Y72" i="3" s="1"/>
  <c r="K29" i="1" a="1"/>
  <c r="K29" i="1" s="1"/>
  <c r="D7" i="3"/>
  <c r="X90" i="5"/>
  <c r="W90" i="5"/>
  <c r="V90" i="5"/>
  <c r="U90" i="5"/>
  <c r="T90" i="5"/>
  <c r="S90" i="5"/>
  <c r="R90" i="5"/>
  <c r="Q90" i="5"/>
  <c r="P90" i="5"/>
  <c r="O90" i="5"/>
  <c r="N90" i="5"/>
  <c r="M90" i="5"/>
  <c r="L90" i="5"/>
  <c r="K90" i="5"/>
  <c r="J90" i="5"/>
  <c r="I90" i="5"/>
  <c r="H90" i="5"/>
  <c r="G90" i="5"/>
  <c r="F90" i="5"/>
  <c r="E90" i="5"/>
  <c r="D90" i="5"/>
  <c r="C90" i="5"/>
  <c r="D32" i="5"/>
  <c r="E32" i="5" s="1"/>
  <c r="F32" i="5" s="1"/>
  <c r="G32" i="5" s="1"/>
  <c r="H32" i="5" s="1"/>
  <c r="I32" i="5" s="1"/>
  <c r="J32" i="5" s="1"/>
  <c r="K32" i="5" s="1"/>
  <c r="L32" i="5" s="1"/>
  <c r="M32" i="5" s="1"/>
  <c r="N32" i="5" s="1"/>
  <c r="O32" i="5" s="1"/>
  <c r="P32" i="5" s="1"/>
  <c r="Q32" i="5" s="1"/>
  <c r="R32" i="5" s="1"/>
  <c r="S32" i="5" s="1"/>
  <c r="T32" i="5" s="1"/>
  <c r="U32" i="5" s="1"/>
  <c r="V32" i="5" s="1"/>
  <c r="W32" i="5" s="1"/>
  <c r="X32" i="5" s="1"/>
  <c r="D15" i="5"/>
  <c r="U35" i="5"/>
  <c r="D21" i="4"/>
  <c r="J34" i="5"/>
  <c r="E33" i="5"/>
  <c r="W34" i="5"/>
  <c r="T35" i="5"/>
  <c r="N35" i="5"/>
  <c r="I35" i="5"/>
  <c r="D29" i="4"/>
  <c r="P34" i="5"/>
  <c r="C34" i="5"/>
  <c r="D33" i="5"/>
  <c r="S34" i="5"/>
  <c r="F33" i="5"/>
  <c r="H35" i="5"/>
  <c r="L33" i="5"/>
  <c r="U33" i="5"/>
  <c r="C33" i="5"/>
  <c r="L35" i="5"/>
  <c r="M35" i="5"/>
  <c r="S35" i="5"/>
  <c r="I34" i="5"/>
  <c r="H33" i="5"/>
  <c r="N34" i="5"/>
  <c r="Q35" i="5"/>
  <c r="O35" i="5"/>
  <c r="W33" i="5"/>
  <c r="I33" i="5"/>
  <c r="X34" i="5"/>
  <c r="R34" i="5"/>
  <c r="P33" i="5"/>
  <c r="Q34" i="5"/>
  <c r="O33" i="5"/>
  <c r="N33" i="5"/>
  <c r="D34" i="5"/>
  <c r="F34" i="5"/>
  <c r="F35" i="5"/>
  <c r="X35" i="5"/>
  <c r="S33" i="5"/>
  <c r="V33" i="5"/>
  <c r="G35" i="5"/>
  <c r="K33" i="5"/>
  <c r="G34" i="5"/>
  <c r="E35" i="5"/>
  <c r="H34" i="5"/>
  <c r="X33" i="5"/>
  <c r="O34" i="5"/>
  <c r="J33" i="5"/>
  <c r="K35" i="5"/>
  <c r="C35" i="5"/>
  <c r="T34" i="5"/>
  <c r="E34" i="5"/>
  <c r="L34" i="5"/>
  <c r="M33" i="5"/>
  <c r="D35" i="5"/>
  <c r="K34" i="5"/>
  <c r="M34" i="5"/>
  <c r="W35" i="5"/>
  <c r="T33" i="5"/>
  <c r="J35" i="5"/>
  <c r="R33" i="5"/>
  <c r="G33" i="5"/>
  <c r="U34" i="5"/>
  <c r="R35" i="5"/>
  <c r="Q33" i="5"/>
  <c r="V35" i="5"/>
  <c r="P35" i="5"/>
  <c r="V34" i="5"/>
  <c r="AU72" i="3" l="1"/>
  <c r="AN72" i="3"/>
  <c r="BK72" i="3"/>
  <c r="AM72" i="3"/>
  <c r="BJ72" i="3"/>
  <c r="AL72" i="3"/>
  <c r="AV72" i="3"/>
  <c r="AR72" i="3"/>
  <c r="BI72" i="3"/>
  <c r="AK72" i="3"/>
  <c r="BM72" i="3"/>
  <c r="BH72" i="3"/>
  <c r="AJ72" i="3"/>
  <c r="AT72" i="3"/>
  <c r="BG72" i="3"/>
  <c r="AI72" i="3"/>
  <c r="BF72" i="3"/>
  <c r="AH72" i="3"/>
  <c r="BO72" i="3"/>
  <c r="BE72" i="3"/>
  <c r="AG72" i="3"/>
  <c r="AQ72" i="3"/>
  <c r="BD72" i="3"/>
  <c r="AF72" i="3"/>
  <c r="BC72" i="3"/>
  <c r="AE72" i="3"/>
  <c r="AP72" i="3"/>
  <c r="BB72" i="3"/>
  <c r="AD72" i="3"/>
  <c r="BP72" i="3"/>
  <c r="BA72" i="3"/>
  <c r="AC72" i="3"/>
  <c r="AS72" i="3"/>
  <c r="AZ72" i="3"/>
  <c r="AB72" i="3"/>
  <c r="BN72" i="3"/>
  <c r="BL72" i="3"/>
  <c r="AY72" i="3"/>
  <c r="AA72" i="3"/>
  <c r="AO72" i="3"/>
  <c r="AX72" i="3"/>
  <c r="Z72" i="3"/>
  <c r="AW72" i="3"/>
  <c r="O8" i="1"/>
  <c r="D30" i="4"/>
  <c r="D23" i="4"/>
  <c r="Q8" i="1" l="1"/>
  <c r="H1" i="6"/>
  <c r="H2" i="6" s="1"/>
  <c r="Q9" i="1" l="1"/>
  <c r="E8" i="1" s="1"/>
  <c r="H3" i="6"/>
  <c r="H6" i="6" s="1"/>
  <c r="H5" i="6"/>
  <c r="B12" i="6" s="1"/>
  <c r="X72" i="3"/>
  <c r="W72" i="3"/>
  <c r="V72" i="3"/>
  <c r="U72" i="3"/>
  <c r="T72" i="3"/>
  <c r="S72" i="3"/>
  <c r="R72" i="3"/>
  <c r="Q72" i="3"/>
  <c r="P72" i="3"/>
  <c r="O72" i="3"/>
  <c r="N72" i="3"/>
  <c r="M72" i="3"/>
  <c r="L72" i="3"/>
  <c r="K72" i="3"/>
  <c r="J72" i="3"/>
  <c r="I72" i="3"/>
  <c r="H72" i="3"/>
  <c r="G72" i="3"/>
  <c r="F72" i="3"/>
  <c r="E72" i="3"/>
  <c r="D72" i="3"/>
  <c r="C72" i="3"/>
  <c r="E144" i="1" a="1"/>
  <c r="E67" i="1" a="1"/>
  <c r="G68" i="1" a="1"/>
  <c r="G100" i="1" a="1"/>
  <c r="E91" i="1" a="1"/>
  <c r="E39" i="1" a="1"/>
  <c r="G141" i="1" a="1"/>
  <c r="E103" i="1" a="1"/>
  <c r="E65" i="1" a="1"/>
  <c r="E47" i="1" a="1"/>
  <c r="E30" i="1" a="1"/>
  <c r="E33" i="1" a="1"/>
  <c r="E135" i="1" a="1"/>
  <c r="E46" i="1" a="1"/>
  <c r="G64" i="1" a="1"/>
  <c r="G80" i="1" a="1"/>
  <c r="E113" i="1" a="1"/>
  <c r="E145" i="1" a="1"/>
  <c r="G46" i="1" a="1"/>
  <c r="G111" i="1" a="1"/>
  <c r="E44" i="1" a="1"/>
  <c r="E100" i="1" a="1"/>
  <c r="E129" i="1" a="1"/>
  <c r="E55" i="1" a="1"/>
  <c r="G34" i="1" a="1"/>
  <c r="E53" i="1" a="1"/>
  <c r="E131" i="1" a="1"/>
  <c r="E57" i="1" a="1"/>
  <c r="G94" i="1" a="1"/>
  <c r="G51" i="1" a="1"/>
  <c r="G122" i="1" a="1"/>
  <c r="E102" i="1" a="1"/>
  <c r="G93" i="1" a="1"/>
  <c r="E50" i="1" a="1"/>
  <c r="G92" i="1" a="1"/>
  <c r="E143" i="1" a="1"/>
  <c r="E36" i="1" a="1"/>
  <c r="G43" i="1" a="1"/>
  <c r="G137" i="1" a="1"/>
  <c r="E119" i="1" a="1"/>
  <c r="E82" i="1" a="1"/>
  <c r="E150" i="1" a="1"/>
  <c r="G105" i="1" a="1"/>
  <c r="E141" i="1" a="1"/>
  <c r="E126" i="1" a="1"/>
  <c r="E89" i="1" a="1"/>
  <c r="G70" i="1" a="1"/>
  <c r="G112" i="1" a="1"/>
  <c r="G87" i="1" a="1"/>
  <c r="E106" i="1" a="1"/>
  <c r="E120" i="1" a="1"/>
  <c r="G148" i="1" a="1"/>
  <c r="G82" i="1" a="1"/>
  <c r="G117" i="1" a="1"/>
  <c r="G131" i="1" a="1"/>
  <c r="G140" i="1" a="1"/>
  <c r="G40" i="1" a="1"/>
  <c r="G69" i="1" a="1"/>
  <c r="G96" i="1" a="1"/>
  <c r="E86" i="1" a="1"/>
  <c r="G61" i="1" a="1"/>
  <c r="G31" i="1" a="1"/>
  <c r="E43" i="1" a="1"/>
  <c r="E115" i="1" a="1"/>
  <c r="E48" i="1" a="1"/>
  <c r="G128" i="1" a="1"/>
  <c r="G49" i="1" a="1"/>
  <c r="G89" i="1" a="1"/>
  <c r="G38" i="1" a="1"/>
  <c r="G119" i="1" a="1"/>
  <c r="B21" i="1" a="1"/>
  <c r="E56" i="1" a="1"/>
  <c r="G71" i="1" a="1"/>
  <c r="G54" i="1" a="1"/>
  <c r="G106" i="1" a="1"/>
  <c r="E117" i="1" a="1"/>
  <c r="G77" i="1" a="1"/>
  <c r="E75" i="1" a="1"/>
  <c r="G102" i="1" a="1"/>
  <c r="E32" i="1" a="1"/>
  <c r="G29" i="1" a="1"/>
  <c r="E52" i="1" a="1"/>
  <c r="E118" i="1" a="1"/>
  <c r="G109" i="1" a="1"/>
  <c r="E51" i="1" a="1"/>
  <c r="G55" i="1" a="1"/>
  <c r="G60" i="1" a="1"/>
  <c r="G41" i="1" a="1"/>
  <c r="E85" i="1" a="1"/>
  <c r="G132" i="1" a="1"/>
  <c r="E92" i="1" a="1"/>
  <c r="E107" i="1" a="1"/>
  <c r="G85" i="1" a="1"/>
  <c r="E94" i="1" a="1"/>
  <c r="E142" i="1" a="1"/>
  <c r="G124" i="1" a="1"/>
  <c r="G121" i="1" a="1"/>
  <c r="E58" i="1" a="1"/>
  <c r="E84" i="1" a="1"/>
  <c r="G45" i="1" a="1"/>
  <c r="E29" i="1" a="1"/>
  <c r="E132" i="1" a="1"/>
  <c r="G98" i="1" a="1"/>
  <c r="E88" i="1" a="1"/>
  <c r="E122" i="1" a="1"/>
  <c r="G115" i="1" a="1"/>
  <c r="G76" i="1" a="1"/>
  <c r="G86" i="1" a="1"/>
  <c r="E66" i="1" a="1"/>
  <c r="E116" i="1" a="1"/>
  <c r="E37" i="1" a="1"/>
  <c r="G139" i="1" a="1"/>
  <c r="E134" i="1" a="1"/>
  <c r="E31" i="1" a="1"/>
  <c r="E124" i="1" a="1"/>
  <c r="E38" i="1" a="1"/>
  <c r="E78" i="1" a="1"/>
  <c r="G59" i="1" a="1"/>
  <c r="G110" i="1" a="1"/>
  <c r="G149" i="1" a="1"/>
  <c r="G108" i="1" a="1"/>
  <c r="G35" i="1" a="1"/>
  <c r="G57" i="1" a="1"/>
  <c r="E109" i="1" a="1"/>
  <c r="G37" i="1" a="1"/>
  <c r="E79" i="1" a="1"/>
  <c r="E104" i="1" a="1"/>
  <c r="G133" i="1" a="1"/>
  <c r="G107" i="1" a="1"/>
  <c r="E71" i="1" a="1"/>
  <c r="G142" i="1" a="1"/>
  <c r="G62" i="1" a="1"/>
  <c r="G136" i="1" a="1"/>
  <c r="G118" i="1" a="1"/>
  <c r="E146" i="1" a="1"/>
  <c r="E108" i="1" a="1"/>
  <c r="E49" i="1" a="1"/>
  <c r="G44" i="1" a="1"/>
  <c r="G83" i="1" a="1"/>
  <c r="G95" i="1" a="1"/>
  <c r="E76" i="1" a="1"/>
  <c r="E148" i="1" a="1"/>
  <c r="E60" i="1" a="1"/>
  <c r="E101" i="1" a="1"/>
  <c r="G67" i="1" a="1"/>
  <c r="E121" i="1" a="1"/>
  <c r="G150" i="1" a="1"/>
  <c r="E123" i="1" a="1"/>
  <c r="G97" i="1" a="1"/>
  <c r="G104" i="1" a="1"/>
  <c r="E128" i="1" a="1"/>
  <c r="G99" i="1" a="1"/>
  <c r="E42" i="1" a="1"/>
  <c r="E41" i="1" a="1"/>
  <c r="E72" i="1" a="1"/>
  <c r="E64" i="1" a="1"/>
  <c r="E70" i="1" a="1"/>
  <c r="E45" i="1" a="1"/>
  <c r="G30" i="1" a="1"/>
  <c r="G53" i="1" a="1"/>
  <c r="E87" i="1" a="1"/>
  <c r="E77" i="1" a="1"/>
  <c r="E69" i="1" a="1"/>
  <c r="G127" i="1" a="1"/>
  <c r="E98" i="1" a="1"/>
  <c r="E139" i="1" a="1"/>
  <c r="E80" i="1" a="1"/>
  <c r="G72" i="1" a="1"/>
  <c r="E34" i="1" a="1"/>
  <c r="G50" i="1" a="1"/>
  <c r="G39" i="1" a="1"/>
  <c r="G147" i="1" a="1"/>
  <c r="G143" i="1" a="1"/>
  <c r="G75" i="1" a="1"/>
  <c r="G73" i="1" a="1"/>
  <c r="G78" i="1" a="1"/>
  <c r="E114" i="1" a="1"/>
  <c r="E125" i="1" a="1"/>
  <c r="G103" i="1" a="1"/>
  <c r="G52" i="1" a="1"/>
  <c r="G32" i="1" a="1"/>
  <c r="G146" i="1" a="1"/>
  <c r="E59" i="1" a="1"/>
  <c r="E140" i="1" a="1"/>
  <c r="G135" i="1" a="1"/>
  <c r="G138" i="1" a="1"/>
  <c r="E138" i="1" a="1"/>
  <c r="G116" i="1" a="1"/>
  <c r="E63" i="1" a="1"/>
  <c r="E83" i="1" a="1"/>
  <c r="E111" i="1" a="1"/>
  <c r="G129" i="1" a="1"/>
  <c r="G91" i="1" a="1"/>
  <c r="E54" i="1" a="1"/>
  <c r="E90" i="1" a="1"/>
  <c r="E74" i="1" a="1"/>
  <c r="G42" i="1" a="1"/>
  <c r="G63" i="1" a="1"/>
  <c r="G114" i="1" a="1"/>
  <c r="G88" i="1" a="1"/>
  <c r="G84" i="1" a="1"/>
  <c r="E62" i="1" a="1"/>
  <c r="G145" i="1" a="1"/>
  <c r="G123" i="1" a="1"/>
  <c r="G47" i="1" a="1"/>
  <c r="E96" i="1" a="1"/>
  <c r="G74" i="1" a="1"/>
  <c r="G126" i="1" a="1"/>
  <c r="E61" i="1" a="1"/>
  <c r="G134" i="1" a="1"/>
  <c r="G113" i="1" a="1"/>
  <c r="E127" i="1" a="1"/>
  <c r="E93" i="1" a="1"/>
  <c r="E147" i="1" a="1"/>
  <c r="E95" i="1" a="1"/>
  <c r="E105" i="1" a="1"/>
  <c r="E73" i="1" a="1"/>
  <c r="G56" i="1" a="1"/>
  <c r="G58" i="1" a="1"/>
  <c r="E68" i="1" a="1"/>
  <c r="E110" i="1" a="1"/>
  <c r="E137" i="1" a="1"/>
  <c r="G120" i="1" a="1"/>
  <c r="G36" i="1" a="1"/>
  <c r="E112" i="1" a="1"/>
  <c r="E35" i="1" a="1"/>
  <c r="E133" i="1" a="1"/>
  <c r="G66" i="1" a="1"/>
  <c r="G79" i="1" a="1"/>
  <c r="G144" i="1" a="1"/>
  <c r="G90" i="1" a="1"/>
  <c r="E149" i="1" a="1"/>
  <c r="G130" i="1" a="1"/>
  <c r="G48" i="1" a="1"/>
  <c r="G65" i="1" a="1"/>
  <c r="E130" i="1" a="1"/>
  <c r="G33" i="1" a="1"/>
  <c r="G81" i="1" a="1"/>
  <c r="G125" i="1" a="1"/>
  <c r="E40" i="1" a="1"/>
  <c r="E136" i="1" a="1"/>
  <c r="E99" i="1" a="1"/>
  <c r="E97" i="1" a="1"/>
  <c r="E81" i="1" a="1"/>
  <c r="G101" i="1" a="1"/>
  <c r="G30" i="1" l="1"/>
  <c r="G42" i="1"/>
  <c r="G54" i="1"/>
  <c r="G66" i="1"/>
  <c r="G78" i="1"/>
  <c r="G90" i="1"/>
  <c r="G102" i="1"/>
  <c r="G114" i="1"/>
  <c r="G126" i="1"/>
  <c r="G138" i="1"/>
  <c r="G150" i="1"/>
  <c r="G67" i="1"/>
  <c r="G79" i="1"/>
  <c r="G91" i="1"/>
  <c r="G115" i="1"/>
  <c r="G127" i="1"/>
  <c r="G47" i="1"/>
  <c r="G143" i="1"/>
  <c r="G132" i="1"/>
  <c r="G97" i="1"/>
  <c r="G133" i="1"/>
  <c r="G43" i="1"/>
  <c r="G139" i="1"/>
  <c r="G141" i="1"/>
  <c r="G118" i="1"/>
  <c r="G59" i="1"/>
  <c r="G96" i="1"/>
  <c r="G99" i="1"/>
  <c r="G31" i="1"/>
  <c r="G55" i="1"/>
  <c r="G103" i="1"/>
  <c r="G94" i="1"/>
  <c r="G108" i="1"/>
  <c r="G85" i="1"/>
  <c r="G122" i="1"/>
  <c r="G146" i="1"/>
  <c r="G63" i="1"/>
  <c r="G76" i="1"/>
  <c r="G136" i="1"/>
  <c r="G101" i="1"/>
  <c r="G56" i="1"/>
  <c r="G92" i="1"/>
  <c r="G128" i="1"/>
  <c r="G140" i="1"/>
  <c r="G82" i="1"/>
  <c r="G142" i="1"/>
  <c r="G71" i="1"/>
  <c r="G107" i="1"/>
  <c r="G36" i="1"/>
  <c r="G49" i="1"/>
  <c r="G38" i="1"/>
  <c r="G39" i="1"/>
  <c r="G40" i="1"/>
  <c r="G100" i="1"/>
  <c r="G41" i="1"/>
  <c r="G89" i="1"/>
  <c r="G125" i="1"/>
  <c r="G32" i="1"/>
  <c r="G44" i="1"/>
  <c r="G68" i="1"/>
  <c r="G80" i="1"/>
  <c r="G104" i="1"/>
  <c r="G116" i="1"/>
  <c r="G129" i="1"/>
  <c r="G106" i="1"/>
  <c r="G130" i="1"/>
  <c r="G83" i="1"/>
  <c r="G72" i="1"/>
  <c r="G144" i="1"/>
  <c r="G98" i="1"/>
  <c r="G51" i="1"/>
  <c r="G111" i="1"/>
  <c r="G52" i="1"/>
  <c r="G137" i="1"/>
  <c r="G45" i="1"/>
  <c r="G57" i="1"/>
  <c r="G69" i="1"/>
  <c r="G93" i="1"/>
  <c r="G105" i="1"/>
  <c r="G117" i="1"/>
  <c r="G48" i="1"/>
  <c r="G61" i="1"/>
  <c r="G109" i="1"/>
  <c r="G50" i="1"/>
  <c r="G33" i="1"/>
  <c r="G81" i="1"/>
  <c r="G131" i="1"/>
  <c r="G60" i="1"/>
  <c r="G120" i="1"/>
  <c r="G37" i="1"/>
  <c r="G145" i="1"/>
  <c r="G74" i="1"/>
  <c r="G75" i="1"/>
  <c r="G135" i="1"/>
  <c r="G53" i="1"/>
  <c r="G34" i="1"/>
  <c r="G58" i="1"/>
  <c r="G70" i="1"/>
  <c r="G35" i="1"/>
  <c r="G95" i="1"/>
  <c r="G84" i="1"/>
  <c r="G62" i="1"/>
  <c r="G123" i="1"/>
  <c r="G88" i="1"/>
  <c r="G65" i="1"/>
  <c r="G113" i="1"/>
  <c r="G149" i="1"/>
  <c r="G46" i="1"/>
  <c r="G73" i="1"/>
  <c r="G110" i="1"/>
  <c r="G87" i="1"/>
  <c r="G124" i="1"/>
  <c r="G119" i="1"/>
  <c r="G121" i="1"/>
  <c r="G86" i="1"/>
  <c r="G112" i="1"/>
  <c r="G148" i="1"/>
  <c r="G77" i="1"/>
  <c r="G134" i="1"/>
  <c r="G147" i="1"/>
  <c r="G64" i="1"/>
  <c r="G29" i="1"/>
  <c r="E30" i="1"/>
  <c r="E42" i="1"/>
  <c r="E54" i="1"/>
  <c r="E66" i="1"/>
  <c r="E78" i="1"/>
  <c r="E90" i="1"/>
  <c r="E102" i="1"/>
  <c r="E114" i="1"/>
  <c r="E126" i="1"/>
  <c r="E138" i="1"/>
  <c r="E150" i="1"/>
  <c r="E142" i="1"/>
  <c r="E96" i="1"/>
  <c r="E109" i="1"/>
  <c r="E98" i="1"/>
  <c r="E87" i="1"/>
  <c r="E111" i="1"/>
  <c r="E123" i="1"/>
  <c r="E40" i="1"/>
  <c r="E43" i="1"/>
  <c r="E67" i="1"/>
  <c r="E91" i="1"/>
  <c r="E115" i="1"/>
  <c r="E127" i="1"/>
  <c r="E139" i="1"/>
  <c r="E92" i="1"/>
  <c r="E140" i="1"/>
  <c r="E81" i="1"/>
  <c r="E94" i="1"/>
  <c r="E71" i="1"/>
  <c r="E83" i="1"/>
  <c r="E95" i="1"/>
  <c r="E48" i="1"/>
  <c r="E97" i="1"/>
  <c r="E74" i="1"/>
  <c r="E100" i="1"/>
  <c r="E41" i="1"/>
  <c r="E113" i="1"/>
  <c r="E31" i="1"/>
  <c r="E55" i="1"/>
  <c r="E79" i="1"/>
  <c r="E103" i="1"/>
  <c r="E104" i="1"/>
  <c r="E128" i="1"/>
  <c r="E69" i="1"/>
  <c r="E117" i="1"/>
  <c r="E141" i="1"/>
  <c r="E118" i="1"/>
  <c r="E144" i="1"/>
  <c r="E73" i="1"/>
  <c r="E122" i="1"/>
  <c r="E63" i="1"/>
  <c r="E76" i="1"/>
  <c r="E53" i="1"/>
  <c r="E125" i="1"/>
  <c r="E132" i="1"/>
  <c r="E50" i="1"/>
  <c r="E75" i="1"/>
  <c r="E88" i="1"/>
  <c r="E32" i="1"/>
  <c r="E44" i="1"/>
  <c r="E56" i="1"/>
  <c r="E68" i="1"/>
  <c r="E80" i="1"/>
  <c r="E116" i="1"/>
  <c r="E105" i="1"/>
  <c r="E59" i="1"/>
  <c r="E131" i="1"/>
  <c r="E120" i="1"/>
  <c r="E61" i="1"/>
  <c r="E146" i="1"/>
  <c r="E64" i="1"/>
  <c r="E45" i="1"/>
  <c r="E129" i="1"/>
  <c r="E82" i="1"/>
  <c r="E84" i="1"/>
  <c r="E85" i="1"/>
  <c r="E133" i="1"/>
  <c r="E110" i="1"/>
  <c r="E39" i="1"/>
  <c r="E135" i="1"/>
  <c r="E136" i="1"/>
  <c r="E77" i="1"/>
  <c r="E33" i="1"/>
  <c r="E57" i="1"/>
  <c r="E93" i="1"/>
  <c r="E106" i="1"/>
  <c r="E47" i="1"/>
  <c r="E119" i="1"/>
  <c r="E36" i="1"/>
  <c r="E49" i="1"/>
  <c r="E86" i="1"/>
  <c r="E99" i="1"/>
  <c r="E147" i="1"/>
  <c r="E52" i="1"/>
  <c r="E35" i="1"/>
  <c r="E107" i="1"/>
  <c r="E108" i="1"/>
  <c r="E62" i="1"/>
  <c r="E112" i="1"/>
  <c r="E89" i="1"/>
  <c r="E137" i="1"/>
  <c r="E34" i="1"/>
  <c r="E46" i="1"/>
  <c r="E58" i="1"/>
  <c r="E70" i="1"/>
  <c r="E130" i="1"/>
  <c r="E143" i="1"/>
  <c r="E60" i="1"/>
  <c r="E37" i="1"/>
  <c r="E121" i="1"/>
  <c r="E145" i="1"/>
  <c r="E38" i="1"/>
  <c r="E124" i="1"/>
  <c r="E65" i="1"/>
  <c r="E149" i="1"/>
  <c r="E72" i="1"/>
  <c r="E134" i="1"/>
  <c r="E148" i="1"/>
  <c r="E101" i="1"/>
  <c r="E51" i="1"/>
  <c r="E29" i="1"/>
  <c r="D14" i="2"/>
  <c r="B21" i="1"/>
  <c r="D9" i="2"/>
  <c r="B10" i="6"/>
  <c r="H10" i="6"/>
  <c r="H8" i="6"/>
  <c r="H7" i="6"/>
  <c r="B13" i="6"/>
  <c r="F61" i="1" a="1"/>
  <c r="D133" i="1" a="1"/>
  <c r="H84" i="1" a="1"/>
  <c r="H137" i="1" a="1"/>
  <c r="H129" i="1" a="1"/>
  <c r="D98" i="1" a="1"/>
  <c r="H74" i="1" a="1"/>
  <c r="H106" i="1" a="1"/>
  <c r="H87" i="1" a="1"/>
  <c r="H114" i="1" a="1"/>
  <c r="F29" i="1" a="1"/>
  <c r="F63" i="1" a="1"/>
  <c r="F114" i="1" a="1"/>
  <c r="H139" i="1" a="1"/>
  <c r="F31" i="1" a="1"/>
  <c r="D115" i="1" a="1"/>
  <c r="D131" i="1" a="1"/>
  <c r="F86" i="1" a="1"/>
  <c r="F118" i="1" a="1"/>
  <c r="H34" i="1" a="1"/>
  <c r="H141" i="1" a="1"/>
  <c r="H108" i="1" a="1"/>
  <c r="D124" i="1" a="1"/>
  <c r="F99" i="1" a="1"/>
  <c r="D142" i="1" a="1"/>
  <c r="F72" i="1" a="1"/>
  <c r="D48" i="1" a="1"/>
  <c r="F73" i="1" a="1"/>
  <c r="H88" i="1" a="1"/>
  <c r="H143" i="1" a="1"/>
  <c r="F41" i="1" a="1"/>
  <c r="D104" i="1" a="1"/>
  <c r="H104" i="1" a="1"/>
  <c r="H76" i="1" a="1"/>
  <c r="F62" i="1" a="1"/>
  <c r="D36" i="1" a="1"/>
  <c r="F88" i="1" a="1"/>
  <c r="D138" i="1" a="1"/>
  <c r="F42" i="1" a="1"/>
  <c r="D31" i="1" a="1"/>
  <c r="H107" i="1" a="1"/>
  <c r="H91" i="1" a="1"/>
  <c r="F35" i="1" a="1"/>
  <c r="D30" i="1" a="1"/>
  <c r="D95" i="1" a="1"/>
  <c r="F47" i="1" a="1"/>
  <c r="H49" i="1" a="1"/>
  <c r="D41" i="1" a="1"/>
  <c r="F78" i="1" a="1"/>
  <c r="F116" i="1" a="1"/>
  <c r="D113" i="1" a="1"/>
  <c r="D56" i="1" a="1"/>
  <c r="H112" i="1" a="1"/>
  <c r="D148" i="1" a="1"/>
  <c r="H147" i="1" a="1"/>
  <c r="D92" i="1" a="1"/>
  <c r="F93" i="1" a="1"/>
  <c r="H30" i="1" a="1"/>
  <c r="D62" i="1" a="1"/>
  <c r="F120" i="1" a="1"/>
  <c r="H109" i="1" a="1"/>
  <c r="H42" i="1" a="1"/>
  <c r="H68" i="1" a="1"/>
  <c r="H40" i="1" a="1"/>
  <c r="F111" i="1" a="1"/>
  <c r="F132" i="1" a="1"/>
  <c r="H125" i="1" a="1"/>
  <c r="H47" i="1" a="1"/>
  <c r="D60" i="1" a="1"/>
  <c r="D111" i="1" a="1"/>
  <c r="H117" i="1" a="1"/>
  <c r="D46" i="1" a="1"/>
  <c r="F60" i="1" a="1"/>
  <c r="F53" i="1" a="1"/>
  <c r="F98" i="1" a="1"/>
  <c r="D132" i="1" a="1"/>
  <c r="D29" i="1" a="1"/>
  <c r="F49" i="1" a="1"/>
  <c r="F103" i="1" a="1"/>
  <c r="H66" i="1" a="1"/>
  <c r="H118" i="1" a="1"/>
  <c r="F136" i="1" a="1"/>
  <c r="H95" i="1" a="1"/>
  <c r="D94" i="1" a="1"/>
  <c r="D137" i="1" a="1"/>
  <c r="F142" i="1" a="1"/>
  <c r="H77" i="1" a="1"/>
  <c r="D141" i="1" a="1"/>
  <c r="D77" i="1" a="1"/>
  <c r="F95" i="1" a="1"/>
  <c r="H75" i="1" a="1"/>
  <c r="D51" i="1" a="1"/>
  <c r="D116" i="1" a="1"/>
  <c r="D120" i="1" a="1"/>
  <c r="H120" i="1" a="1"/>
  <c r="F104" i="1" a="1"/>
  <c r="D117" i="1" a="1"/>
  <c r="D37" i="1" a="1"/>
  <c r="F57" i="1" a="1"/>
  <c r="F97" i="1" a="1"/>
  <c r="F96" i="1" a="1"/>
  <c r="D59" i="1" a="1"/>
  <c r="H102" i="1" a="1"/>
  <c r="D105" i="1" a="1"/>
  <c r="H60" i="1" a="1"/>
  <c r="D149" i="1" a="1"/>
  <c r="D134" i="1" a="1"/>
  <c r="D135" i="1" a="1"/>
  <c r="F58" i="1" a="1"/>
  <c r="D32" i="1" a="1"/>
  <c r="F70" i="1" a="1"/>
  <c r="D145" i="1" a="1"/>
  <c r="F40" i="1" a="1"/>
  <c r="F124" i="1" a="1"/>
  <c r="H138" i="1" a="1"/>
  <c r="F117" i="1" a="1"/>
  <c r="F110" i="1" a="1"/>
  <c r="F134" i="1" a="1"/>
  <c r="F119" i="1" a="1"/>
  <c r="D84" i="1" a="1"/>
  <c r="D44" i="1" a="1"/>
  <c r="F150" i="1" a="1"/>
  <c r="D106" i="1" a="1"/>
  <c r="F141" i="1" a="1"/>
  <c r="H82" i="1" a="1"/>
  <c r="F36" i="1" a="1"/>
  <c r="H136" i="1" a="1"/>
  <c r="H135" i="1" a="1"/>
  <c r="F107" i="1" a="1"/>
  <c r="F33" i="1" a="1"/>
  <c r="D33" i="1" a="1"/>
  <c r="H38" i="1" a="1"/>
  <c r="D136" i="1" a="1"/>
  <c r="H96" i="1" a="1"/>
  <c r="F44" i="1" a="1"/>
  <c r="H142" i="1" a="1"/>
  <c r="H140" i="1" a="1"/>
  <c r="H43" i="1" a="1"/>
  <c r="F83" i="1" a="1"/>
  <c r="H110" i="1" a="1"/>
  <c r="D130" i="1" a="1"/>
  <c r="H116" i="1" a="1"/>
  <c r="D45" i="1" a="1"/>
  <c r="F140" i="1" a="1"/>
  <c r="D38" i="1" a="1"/>
  <c r="F92" i="1" a="1"/>
  <c r="F75" i="1" a="1"/>
  <c r="D61" i="1" a="1"/>
  <c r="H150" i="1" a="1"/>
  <c r="H31" i="1" a="1"/>
  <c r="D42" i="1" a="1"/>
  <c r="H69" i="1" a="1"/>
  <c r="H32" i="1" a="1"/>
  <c r="H54" i="1" a="1"/>
  <c r="F115" i="1" a="1"/>
  <c r="D63" i="1" a="1"/>
  <c r="H123" i="1" a="1"/>
  <c r="D99" i="1" a="1"/>
  <c r="F125" i="1" a="1"/>
  <c r="D70" i="1" a="1"/>
  <c r="D55" i="1" a="1"/>
  <c r="H98" i="1" a="1"/>
  <c r="D52" i="1" a="1"/>
  <c r="F81" i="1" a="1"/>
  <c r="H39" i="1" a="1"/>
  <c r="F112" i="1" a="1"/>
  <c r="D91" i="1" a="1"/>
  <c r="D88" i="1" a="1"/>
  <c r="D108" i="1" a="1"/>
  <c r="H53" i="1" a="1"/>
  <c r="D73" i="1" a="1"/>
  <c r="F109" i="1" a="1"/>
  <c r="H71" i="1" a="1"/>
  <c r="H126" i="1" a="1"/>
  <c r="D126" i="1" a="1"/>
  <c r="H72" i="1" a="1"/>
  <c r="H45" i="1" a="1"/>
  <c r="D53" i="1" a="1"/>
  <c r="H111" i="1" a="1"/>
  <c r="F143" i="1" a="1"/>
  <c r="F55" i="1" a="1"/>
  <c r="F138" i="1" a="1"/>
  <c r="H92" i="1" a="1"/>
  <c r="D123" i="1" a="1"/>
  <c r="H62" i="1" a="1"/>
  <c r="D114" i="1" a="1"/>
  <c r="H63" i="1" a="1"/>
  <c r="F91" i="1" a="1"/>
  <c r="D147" i="1" a="1"/>
  <c r="D39" i="1" a="1"/>
  <c r="F68" i="1" a="1"/>
  <c r="D64" i="1" a="1"/>
  <c r="H115" i="1" a="1"/>
  <c r="D78" i="1" a="1"/>
  <c r="F77" i="1" a="1"/>
  <c r="D129" i="1" a="1"/>
  <c r="H35" i="1" a="1"/>
  <c r="F71" i="1" a="1"/>
  <c r="H105" i="1" a="1"/>
  <c r="F122" i="1" a="1"/>
  <c r="F147" i="1" a="1"/>
  <c r="D74" i="1" a="1"/>
  <c r="D57" i="1" a="1"/>
  <c r="H44" i="1" a="1"/>
  <c r="D54" i="1" a="1"/>
  <c r="H50" i="1" a="1"/>
  <c r="D93" i="1" a="1"/>
  <c r="D112" i="1" a="1"/>
  <c r="F146" i="1" a="1"/>
  <c r="F52" i="1" a="1"/>
  <c r="F54" i="1" a="1"/>
  <c r="F84" i="1" a="1"/>
  <c r="D87" i="1" a="1"/>
  <c r="F123" i="1" a="1"/>
  <c r="F43" i="1" a="1"/>
  <c r="D76" i="1" a="1"/>
  <c r="F102" i="1" a="1"/>
  <c r="F80" i="1" a="1"/>
  <c r="F139" i="1" a="1"/>
  <c r="H148" i="1" a="1"/>
  <c r="F113" i="1" a="1"/>
  <c r="H134" i="1" a="1"/>
  <c r="D122" i="1" a="1"/>
  <c r="F76" i="1" a="1"/>
  <c r="H149" i="1" a="1"/>
  <c r="H29" i="1" a="1"/>
  <c r="H90" i="1" a="1"/>
  <c r="D43" i="1" a="1"/>
  <c r="D50" i="1" a="1"/>
  <c r="D150" i="1" a="1"/>
  <c r="H133" i="1" a="1"/>
  <c r="F133" i="1" a="1"/>
  <c r="F148" i="1" a="1"/>
  <c r="D86" i="1" a="1"/>
  <c r="D90" i="1" a="1"/>
  <c r="H128" i="1" a="1"/>
  <c r="H83" i="1" a="1"/>
  <c r="H61" i="1" a="1"/>
  <c r="F37" i="1" a="1"/>
  <c r="F39" i="1" a="1"/>
  <c r="H145" i="1" a="1"/>
  <c r="F94" i="1" a="1"/>
  <c r="H100" i="1" a="1"/>
  <c r="D128" i="1" a="1"/>
  <c r="H67" i="1" a="1"/>
  <c r="H94" i="1" a="1"/>
  <c r="D34" i="1" a="1"/>
  <c r="F127" i="1" a="1"/>
  <c r="F87" i="1" a="1"/>
  <c r="D72" i="1" a="1"/>
  <c r="F129" i="1" a="1"/>
  <c r="D81" i="1" a="1"/>
  <c r="H48" i="1" a="1"/>
  <c r="H64" i="1" a="1"/>
  <c r="D68" i="1" a="1"/>
  <c r="F100" i="1" a="1"/>
  <c r="D103" i="1" a="1"/>
  <c r="H103" i="1" a="1"/>
  <c r="F66" i="1" a="1"/>
  <c r="H146" i="1" a="1"/>
  <c r="F145" i="1" a="1"/>
  <c r="H86" i="1" a="1"/>
  <c r="F90" i="1" a="1"/>
  <c r="F149" i="1" a="1"/>
  <c r="H131" i="1" a="1"/>
  <c r="D75" i="1" a="1"/>
  <c r="F126" i="1" a="1"/>
  <c r="D121" i="1" a="1"/>
  <c r="D83" i="1" a="1"/>
  <c r="D119" i="1" a="1"/>
  <c r="F105" i="1" a="1"/>
  <c r="H93" i="1" a="1"/>
  <c r="H99" i="1" a="1"/>
  <c r="H85" i="1" a="1"/>
  <c r="F106" i="1" a="1"/>
  <c r="H80" i="1" a="1"/>
  <c r="F32" i="1" a="1"/>
  <c r="H52" i="1" a="1"/>
  <c r="D35" i="1" a="1"/>
  <c r="F82" i="1" a="1"/>
  <c r="F46" i="1" a="1"/>
  <c r="F130" i="1" a="1"/>
  <c r="H89" i="1" a="1"/>
  <c r="F67" i="1" a="1"/>
  <c r="D82" i="1" a="1"/>
  <c r="D140" i="1" a="1"/>
  <c r="D118" i="1" a="1"/>
  <c r="H81" i="1" a="1"/>
  <c r="D144" i="1" a="1"/>
  <c r="F137" i="1" a="1"/>
  <c r="F101" i="1" a="1"/>
  <c r="D85" i="1" a="1"/>
  <c r="H36" i="1" a="1"/>
  <c r="H59" i="1" a="1"/>
  <c r="F79" i="1" a="1"/>
  <c r="D146" i="1" a="1"/>
  <c r="D69" i="1" a="1"/>
  <c r="F128" i="1" a="1"/>
  <c r="H119" i="1" a="1"/>
  <c r="D97" i="1" a="1"/>
  <c r="F74" i="1" a="1"/>
  <c r="D79" i="1" a="1"/>
  <c r="F85" i="1" a="1"/>
  <c r="D40" i="1" a="1"/>
  <c r="H124" i="1" a="1"/>
  <c r="F51" i="1" a="1"/>
  <c r="F56" i="1" a="1"/>
  <c r="H58" i="1" a="1"/>
  <c r="H78" i="1" a="1"/>
  <c r="F89" i="1" a="1"/>
  <c r="D66" i="1" a="1"/>
  <c r="H51" i="1" a="1"/>
  <c r="D139" i="1" a="1"/>
  <c r="H122" i="1" a="1"/>
  <c r="D67" i="1" a="1"/>
  <c r="D102" i="1" a="1"/>
  <c r="F144" i="1" a="1"/>
  <c r="D101" i="1" a="1"/>
  <c r="F34" i="1" a="1"/>
  <c r="H70" i="1" a="1"/>
  <c r="D58" i="1" a="1"/>
  <c r="F64" i="1" a="1"/>
  <c r="D110" i="1" a="1"/>
  <c r="H101" i="1" a="1"/>
  <c r="H130" i="1" a="1"/>
  <c r="D80" i="1" a="1"/>
  <c r="F108" i="1" a="1"/>
  <c r="H55" i="1" a="1"/>
  <c r="H33" i="1" a="1"/>
  <c r="D89" i="1" a="1"/>
  <c r="D65" i="1" a="1"/>
  <c r="H144" i="1" a="1"/>
  <c r="D127" i="1" a="1"/>
  <c r="F50" i="1" a="1"/>
  <c r="H46" i="1" a="1"/>
  <c r="F131" i="1" a="1"/>
  <c r="D100" i="1" a="1"/>
  <c r="D109" i="1" a="1"/>
  <c r="H56" i="1" a="1"/>
  <c r="D71" i="1" a="1"/>
  <c r="F48" i="1" a="1"/>
  <c r="F121" i="1" a="1"/>
  <c r="D107" i="1" a="1"/>
  <c r="H132" i="1" a="1"/>
  <c r="F59" i="1" a="1"/>
  <c r="H79" i="1" a="1"/>
  <c r="H73" i="1" a="1"/>
  <c r="H41" i="1" a="1"/>
  <c r="F65" i="1" a="1"/>
  <c r="D125" i="1" a="1"/>
  <c r="H37" i="1" a="1"/>
  <c r="D47" i="1" a="1"/>
  <c r="H121" i="1" a="1"/>
  <c r="H57" i="1" a="1"/>
  <c r="H127" i="1" a="1"/>
  <c r="F69" i="1" a="1"/>
  <c r="D49" i="1" a="1"/>
  <c r="F45" i="1" a="1"/>
  <c r="F30" i="1" a="1"/>
  <c r="H65" i="1" a="1"/>
  <c r="D143" i="1" a="1"/>
  <c r="H97" i="1" a="1"/>
  <c r="F135" i="1" a="1"/>
  <c r="D96" i="1" a="1"/>
  <c r="H113" i="1" a="1"/>
  <c r="F38" i="1" a="1"/>
  <c r="D8" i="3" l="1"/>
  <c r="D13" i="3"/>
  <c r="H101" i="1"/>
  <c r="H112" i="1"/>
  <c r="H39" i="1"/>
  <c r="H122" i="1"/>
  <c r="H61" i="1"/>
  <c r="H120" i="1"/>
  <c r="H107" i="1"/>
  <c r="H88" i="1"/>
  <c r="H98" i="1"/>
  <c r="H48" i="1"/>
  <c r="H131" i="1"/>
  <c r="H95" i="1"/>
  <c r="H34" i="1"/>
  <c r="H99" i="1"/>
  <c r="H37" i="1"/>
  <c r="H108" i="1"/>
  <c r="H47" i="1"/>
  <c r="H118" i="1"/>
  <c r="H82" i="1"/>
  <c r="H46" i="1"/>
  <c r="H89" i="1"/>
  <c r="H100" i="1"/>
  <c r="H135" i="1"/>
  <c r="H146" i="1"/>
  <c r="H50" i="1"/>
  <c r="H121" i="1"/>
  <c r="H97" i="1"/>
  <c r="H71" i="1"/>
  <c r="H106" i="1"/>
  <c r="H117" i="1"/>
  <c r="H105" i="1"/>
  <c r="H93" i="1"/>
  <c r="H81" i="1"/>
  <c r="H57" i="1"/>
  <c r="H45" i="1"/>
  <c r="H33" i="1"/>
  <c r="H53" i="1"/>
  <c r="H136" i="1"/>
  <c r="H64" i="1"/>
  <c r="H111" i="1"/>
  <c r="H134" i="1"/>
  <c r="H62" i="1"/>
  <c r="H73" i="1"/>
  <c r="H60" i="1"/>
  <c r="H143" i="1"/>
  <c r="H59" i="1"/>
  <c r="H69" i="1"/>
  <c r="H137" i="1"/>
  <c r="H65" i="1"/>
  <c r="H148" i="1"/>
  <c r="H40" i="1"/>
  <c r="H147" i="1"/>
  <c r="H63" i="1"/>
  <c r="H96" i="1"/>
  <c r="H142" i="1"/>
  <c r="H80" i="1"/>
  <c r="H32" i="1"/>
  <c r="H113" i="1"/>
  <c r="H86" i="1"/>
  <c r="H36" i="1"/>
  <c r="H119" i="1"/>
  <c r="H83" i="1"/>
  <c r="H94" i="1"/>
  <c r="H116" i="1"/>
  <c r="H68" i="1"/>
  <c r="H44" i="1"/>
  <c r="H149" i="1"/>
  <c r="H77" i="1"/>
  <c r="H76" i="1"/>
  <c r="H110" i="1"/>
  <c r="H85" i="1"/>
  <c r="H72" i="1"/>
  <c r="H104" i="1"/>
  <c r="H139" i="1"/>
  <c r="H127" i="1"/>
  <c r="H115" i="1"/>
  <c r="H91" i="1"/>
  <c r="H79" i="1"/>
  <c r="H67" i="1"/>
  <c r="H55" i="1"/>
  <c r="H43" i="1"/>
  <c r="H31" i="1"/>
  <c r="H41" i="1"/>
  <c r="H124" i="1"/>
  <c r="H123" i="1"/>
  <c r="H75" i="1"/>
  <c r="H51" i="1"/>
  <c r="H38" i="1"/>
  <c r="H133" i="1"/>
  <c r="H49" i="1"/>
  <c r="H144" i="1"/>
  <c r="H84" i="1"/>
  <c r="H35" i="1"/>
  <c r="H58" i="1"/>
  <c r="H129" i="1"/>
  <c r="H128" i="1"/>
  <c r="H92" i="1"/>
  <c r="H56" i="1"/>
  <c r="H103" i="1"/>
  <c r="H125" i="1"/>
  <c r="H52" i="1"/>
  <c r="H87" i="1"/>
  <c r="H74" i="1"/>
  <c r="H145" i="1"/>
  <c r="H109" i="1"/>
  <c r="H132" i="1"/>
  <c r="H130" i="1"/>
  <c r="H70" i="1"/>
  <c r="H141" i="1"/>
  <c r="H140" i="1"/>
  <c r="H150" i="1"/>
  <c r="H138" i="1"/>
  <c r="H126" i="1"/>
  <c r="H114" i="1"/>
  <c r="H102" i="1"/>
  <c r="H90" i="1"/>
  <c r="H78" i="1"/>
  <c r="H66" i="1"/>
  <c r="H54" i="1"/>
  <c r="H42" i="1"/>
  <c r="H30" i="1"/>
  <c r="F149" i="1"/>
  <c r="F125" i="1"/>
  <c r="F136" i="1"/>
  <c r="F107" i="1"/>
  <c r="F137" i="1"/>
  <c r="F89" i="1"/>
  <c r="F40" i="1"/>
  <c r="F147" i="1"/>
  <c r="F75" i="1"/>
  <c r="F110" i="1"/>
  <c r="F74" i="1"/>
  <c r="F133" i="1"/>
  <c r="F73" i="1"/>
  <c r="F132" i="1"/>
  <c r="F131" i="1"/>
  <c r="F95" i="1"/>
  <c r="F34" i="1"/>
  <c r="F65" i="1"/>
  <c r="F76" i="1"/>
  <c r="F99" i="1"/>
  <c r="F85" i="1"/>
  <c r="F108" i="1"/>
  <c r="F129" i="1"/>
  <c r="F53" i="1"/>
  <c r="F100" i="1"/>
  <c r="F51" i="1"/>
  <c r="F134" i="1"/>
  <c r="F98" i="1"/>
  <c r="F38" i="1"/>
  <c r="F145" i="1"/>
  <c r="F49" i="1"/>
  <c r="F48" i="1"/>
  <c r="F119" i="1"/>
  <c r="F35" i="1"/>
  <c r="F130" i="1"/>
  <c r="F93" i="1"/>
  <c r="F57" i="1"/>
  <c r="F45" i="1"/>
  <c r="F33" i="1"/>
  <c r="F41" i="1"/>
  <c r="F148" i="1"/>
  <c r="F112" i="1"/>
  <c r="F39" i="1"/>
  <c r="F62" i="1"/>
  <c r="F109" i="1"/>
  <c r="F59" i="1"/>
  <c r="F44" i="1"/>
  <c r="F113" i="1"/>
  <c r="F88" i="1"/>
  <c r="F135" i="1"/>
  <c r="F111" i="1"/>
  <c r="F50" i="1"/>
  <c r="F97" i="1"/>
  <c r="F61" i="1"/>
  <c r="F120" i="1"/>
  <c r="F72" i="1"/>
  <c r="F47" i="1"/>
  <c r="F118" i="1"/>
  <c r="F58" i="1"/>
  <c r="F81" i="1"/>
  <c r="F128" i="1"/>
  <c r="F92" i="1"/>
  <c r="F68" i="1"/>
  <c r="F56" i="1"/>
  <c r="F32" i="1"/>
  <c r="F101" i="1"/>
  <c r="F52" i="1"/>
  <c r="F87" i="1"/>
  <c r="F122" i="1"/>
  <c r="F86" i="1"/>
  <c r="F121" i="1"/>
  <c r="F37" i="1"/>
  <c r="F96" i="1"/>
  <c r="F60" i="1"/>
  <c r="F36" i="1"/>
  <c r="F83" i="1"/>
  <c r="F142" i="1"/>
  <c r="F94" i="1"/>
  <c r="F70" i="1"/>
  <c r="F141" i="1"/>
  <c r="F117" i="1"/>
  <c r="F69" i="1"/>
  <c r="F116" i="1"/>
  <c r="F80" i="1"/>
  <c r="F127" i="1"/>
  <c r="F103" i="1"/>
  <c r="F91" i="1"/>
  <c r="F79" i="1"/>
  <c r="F67" i="1"/>
  <c r="F55" i="1"/>
  <c r="F43" i="1"/>
  <c r="F31" i="1"/>
  <c r="F77" i="1"/>
  <c r="F124" i="1"/>
  <c r="F64" i="1"/>
  <c r="F123" i="1"/>
  <c r="F63" i="1"/>
  <c r="F146" i="1"/>
  <c r="F144" i="1"/>
  <c r="F84" i="1"/>
  <c r="F143" i="1"/>
  <c r="F71" i="1"/>
  <c r="F106" i="1"/>
  <c r="F82" i="1"/>
  <c r="F46" i="1"/>
  <c r="F105" i="1"/>
  <c r="F140" i="1"/>
  <c r="F104" i="1"/>
  <c r="F139" i="1"/>
  <c r="F115" i="1"/>
  <c r="F150" i="1"/>
  <c r="F138" i="1"/>
  <c r="F126" i="1"/>
  <c r="F114" i="1"/>
  <c r="F102" i="1"/>
  <c r="F90" i="1"/>
  <c r="F78" i="1"/>
  <c r="F66" i="1"/>
  <c r="F54" i="1"/>
  <c r="F42" i="1"/>
  <c r="F30" i="1"/>
  <c r="F29" i="1"/>
  <c r="H29" i="1"/>
  <c r="D13" i="2"/>
  <c r="B9" i="6"/>
  <c r="D142" i="1"/>
  <c r="D108" i="1"/>
  <c r="D119" i="1"/>
  <c r="D94" i="1"/>
  <c r="D81" i="1"/>
  <c r="D127" i="1"/>
  <c r="D150" i="1"/>
  <c r="D77" i="1"/>
  <c r="D144" i="1"/>
  <c r="D118" i="1"/>
  <c r="D129" i="1"/>
  <c r="D140" i="1"/>
  <c r="D125" i="1"/>
  <c r="D96" i="1"/>
  <c r="D143" i="1"/>
  <c r="D95" i="1"/>
  <c r="D128" i="1"/>
  <c r="D79" i="1"/>
  <c r="D89" i="1"/>
  <c r="D136" i="1"/>
  <c r="D124" i="1"/>
  <c r="D112" i="1"/>
  <c r="D100" i="1"/>
  <c r="D88" i="1"/>
  <c r="D76" i="1"/>
  <c r="D120" i="1"/>
  <c r="D107" i="1"/>
  <c r="D82" i="1"/>
  <c r="D80" i="1"/>
  <c r="D114" i="1"/>
  <c r="D106" i="1"/>
  <c r="D93" i="1"/>
  <c r="D116" i="1"/>
  <c r="D115" i="1"/>
  <c r="D126" i="1"/>
  <c r="D149" i="1"/>
  <c r="D123" i="1"/>
  <c r="D75" i="1"/>
  <c r="D138" i="1"/>
  <c r="D132" i="1"/>
  <c r="D83" i="1"/>
  <c r="D130" i="1"/>
  <c r="D117" i="1"/>
  <c r="D78" i="1"/>
  <c r="D101" i="1"/>
  <c r="D111" i="1"/>
  <c r="D146" i="1"/>
  <c r="D122" i="1"/>
  <c r="D98" i="1"/>
  <c r="D74" i="1"/>
  <c r="D84" i="1"/>
  <c r="D131" i="1"/>
  <c r="D141" i="1"/>
  <c r="D105" i="1"/>
  <c r="D104" i="1"/>
  <c r="D139" i="1"/>
  <c r="D103" i="1"/>
  <c r="D102" i="1"/>
  <c r="D148" i="1"/>
  <c r="D135" i="1"/>
  <c r="D87" i="1"/>
  <c r="D134" i="1"/>
  <c r="D110" i="1"/>
  <c r="D86" i="1"/>
  <c r="D92" i="1"/>
  <c r="D91" i="1"/>
  <c r="D90" i="1"/>
  <c r="D137" i="1"/>
  <c r="D113" i="1"/>
  <c r="D147" i="1"/>
  <c r="D99" i="1"/>
  <c r="D145" i="1"/>
  <c r="D133" i="1"/>
  <c r="D121" i="1"/>
  <c r="D109" i="1"/>
  <c r="D97" i="1"/>
  <c r="D85" i="1"/>
  <c r="D73" i="1"/>
  <c r="D65" i="1"/>
  <c r="D53" i="1"/>
  <c r="D52" i="1"/>
  <c r="D63" i="1"/>
  <c r="D39" i="1"/>
  <c r="D38" i="1"/>
  <c r="D61" i="1"/>
  <c r="D49" i="1"/>
  <c r="D72" i="1"/>
  <c r="D60" i="1"/>
  <c r="D48" i="1"/>
  <c r="D71" i="1"/>
  <c r="D59" i="1"/>
  <c r="D47" i="1"/>
  <c r="D70" i="1"/>
  <c r="D46" i="1"/>
  <c r="D69" i="1"/>
  <c r="D45" i="1"/>
  <c r="D56" i="1"/>
  <c r="D44" i="1"/>
  <c r="D67" i="1"/>
  <c r="D43" i="1"/>
  <c r="D31" i="1"/>
  <c r="D41" i="1"/>
  <c r="D64" i="1"/>
  <c r="D40" i="1"/>
  <c r="D51" i="1"/>
  <c r="D62" i="1"/>
  <c r="D50" i="1"/>
  <c r="D37" i="1"/>
  <c r="D36" i="1"/>
  <c r="D35" i="1"/>
  <c r="D58" i="1"/>
  <c r="D34" i="1"/>
  <c r="D57" i="1"/>
  <c r="D33" i="1"/>
  <c r="D68" i="1"/>
  <c r="D32" i="1"/>
  <c r="D55" i="1"/>
  <c r="D66" i="1"/>
  <c r="D54" i="1"/>
  <c r="D42" i="1"/>
  <c r="D30" i="1"/>
  <c r="D29" i="1"/>
  <c r="C20" i="6"/>
  <c r="C41" i="6"/>
  <c r="C39" i="6"/>
  <c r="B39" i="6"/>
  <c r="B37" i="6"/>
  <c r="H11" i="6"/>
  <c r="H9" i="6"/>
  <c r="B19" i="6" s="1"/>
  <c r="C27" i="6"/>
  <c r="B16" i="6"/>
  <c r="C16" i="6" s="1"/>
  <c r="B25" i="6"/>
  <c r="C25" i="6"/>
  <c r="B18" i="6"/>
  <c r="C19" i="6"/>
  <c r="B17" i="6"/>
  <c r="B23" i="6"/>
  <c r="C23" i="6" s="1"/>
  <c r="AG36" i="2" a="1"/>
  <c r="AP22" i="2" a="1"/>
  <c r="V33" i="2" a="1"/>
  <c r="S36" i="2" a="1"/>
  <c r="BS33" i="2" a="1"/>
  <c r="AL36" i="2" a="1"/>
  <c r="I36" i="2" a="1"/>
  <c r="BJ33" i="2" a="1"/>
  <c r="T39" i="2" a="1"/>
  <c r="B34" i="6" a="1"/>
  <c r="AC39" i="2" a="1"/>
  <c r="AU36" i="2" a="1"/>
  <c r="C31" i="6" a="1"/>
  <c r="BK22" i="2" a="1"/>
  <c r="BK36" i="2" a="1"/>
  <c r="X30" i="2" a="1"/>
  <c r="AD39" i="2" a="1"/>
  <c r="AY30" i="2" a="1"/>
  <c r="AH36" i="2" a="1"/>
  <c r="G22" i="2" a="1"/>
  <c r="AM22" i="2" a="1"/>
  <c r="BT33" i="2" a="1"/>
  <c r="AA24" i="2" a="1"/>
  <c r="BQ30" i="2" a="1"/>
  <c r="X22" i="2" a="1"/>
  <c r="U39" i="2" a="1"/>
  <c r="G24" i="2" a="1"/>
  <c r="Z30" i="2" a="1"/>
  <c r="AG39" i="2" a="1"/>
  <c r="U30" i="2" a="1"/>
  <c r="BN39" i="2" a="1"/>
  <c r="BK39" i="2" a="1"/>
  <c r="BH30" i="2" a="1"/>
  <c r="AY36" i="2" a="1"/>
  <c r="Q39" i="2" a="1"/>
  <c r="AF22" i="2" a="1"/>
  <c r="AL27" i="2" a="1"/>
  <c r="Z36" i="2" a="1"/>
  <c r="AZ24" i="2" a="1"/>
  <c r="AB27" i="2" a="1"/>
  <c r="P24" i="2" a="1"/>
  <c r="M39" i="2" a="1"/>
  <c r="Y27" i="2" a="1"/>
  <c r="BR30" i="2" a="1"/>
  <c r="BA30" i="2" a="1"/>
  <c r="AU39" i="2" a="1"/>
  <c r="U33" i="2" a="1"/>
  <c r="AD36" i="2" a="1"/>
  <c r="BO22" i="2" a="1"/>
  <c r="AX27" i="2" a="1"/>
  <c r="W27" i="2" a="1"/>
  <c r="BB39" i="2" a="1"/>
  <c r="T30" i="2" a="1"/>
  <c r="L36" i="2" a="1"/>
  <c r="BJ36" i="2" a="1"/>
  <c r="BL27" i="2" a="1"/>
  <c r="BG30" i="2" a="1"/>
  <c r="AP39" i="2" a="1"/>
  <c r="AW24" i="2" a="1"/>
  <c r="C34" i="6" a="1"/>
  <c r="BC33" i="2" a="1"/>
  <c r="AW33" i="2" a="1"/>
  <c r="P27" i="2" a="1"/>
  <c r="AR27" i="2" a="1"/>
  <c r="S39" i="2" a="1"/>
  <c r="BJ30" i="2" a="1"/>
  <c r="BC22" i="2" a="1"/>
  <c r="X27" i="2" a="1"/>
  <c r="H36" i="2" a="1"/>
  <c r="AU22" i="2" a="1"/>
  <c r="BH22" i="2" a="1"/>
  <c r="AS24" i="2" a="1"/>
  <c r="R33" i="2" a="1"/>
  <c r="L27" i="2" a="1"/>
  <c r="K24" i="2" a="1"/>
  <c r="AZ22" i="2" a="1"/>
  <c r="AQ27" i="2" a="1"/>
  <c r="BN33" i="2" a="1"/>
  <c r="AF27" i="2" a="1"/>
  <c r="BD33" i="2" a="1"/>
  <c r="AI30" i="2" a="1"/>
  <c r="AO27" i="2" a="1"/>
  <c r="AH33" i="2" a="1"/>
  <c r="G39" i="2" a="1"/>
  <c r="K33" i="2" a="1"/>
  <c r="BI30" i="2" a="1"/>
  <c r="R27" i="2" a="1"/>
  <c r="BQ24" i="2" a="1"/>
  <c r="AE24" i="2" a="1"/>
  <c r="V39" i="2" a="1"/>
  <c r="AJ27" i="2" a="1"/>
  <c r="AY24" i="2" a="1"/>
  <c r="BM33" i="2" a="1"/>
  <c r="N24" i="2" a="1"/>
  <c r="BL22" i="2" a="1"/>
  <c r="BS39" i="2" a="1"/>
  <c r="M27" i="2" a="1"/>
  <c r="BB30" i="2" a="1"/>
  <c r="BF24" i="2" a="1"/>
  <c r="AE36" i="2" a="1"/>
  <c r="K29" i="3" a="1"/>
  <c r="BD22" i="2" a="1"/>
  <c r="BS27" i="2" a="1"/>
  <c r="G27" i="2" a="1"/>
  <c r="AB24" i="2" a="1"/>
  <c r="BB24" i="2" a="1"/>
  <c r="AV39" i="2" a="1"/>
  <c r="AM27" i="2" a="1"/>
  <c r="AY27" i="2" a="1"/>
  <c r="AK27" i="2" a="1"/>
  <c r="W24" i="2" a="1"/>
  <c r="AR39" i="2" a="1"/>
  <c r="G36" i="2" a="1"/>
  <c r="AH39" i="2" a="1"/>
  <c r="AE27" i="2" a="1"/>
  <c r="AM39" i="2" a="1"/>
  <c r="Y22" i="2" a="1"/>
  <c r="BA33" i="2" a="1"/>
  <c r="BE27" i="2" a="1"/>
  <c r="AW22" i="2" a="1"/>
  <c r="Z27" i="2" a="1"/>
  <c r="Q30" i="2" a="1"/>
  <c r="BD24" i="2" a="1"/>
  <c r="S33" i="2" a="1"/>
  <c r="AH22" i="2" a="1"/>
  <c r="BR33" i="2" a="1"/>
  <c r="U24" i="2" a="1"/>
  <c r="AS27" i="2" a="1"/>
  <c r="BL33" i="2" a="1"/>
  <c r="AG24" i="2" a="1"/>
  <c r="BT36" i="2" a="1"/>
  <c r="AK39" i="2" a="1"/>
  <c r="BN27" i="2" a="1"/>
  <c r="AT30" i="2" a="1"/>
  <c r="BQ22" i="2" a="1"/>
  <c r="AE30" i="2" a="1"/>
  <c r="BE33" i="2" a="1"/>
  <c r="AZ30" i="2" a="1"/>
  <c r="AN27" i="2" a="1"/>
  <c r="J24" i="2" a="1"/>
  <c r="BK24" i="2" a="1"/>
  <c r="Z24" i="2" a="1"/>
  <c r="AW27" i="2" a="1"/>
  <c r="W39" i="2" a="1"/>
  <c r="BC24" i="2" a="1"/>
  <c r="BG24" i="2" a="1"/>
  <c r="AJ30" i="2" a="1"/>
  <c r="X39" i="2" a="1"/>
  <c r="AC30" i="2" a="1"/>
  <c r="P36" i="2" a="1"/>
  <c r="BF22" i="2" a="1"/>
  <c r="BG22" i="2" a="1"/>
  <c r="AJ33" i="2" a="1"/>
  <c r="AA30" i="2" a="1"/>
  <c r="AB39" i="2" a="1"/>
  <c r="AB30" i="2" a="1"/>
  <c r="W22" i="2" a="1"/>
  <c r="H22" i="2" a="1"/>
  <c r="N39" i="2" a="1"/>
  <c r="AM33" i="2" a="1"/>
  <c r="I39" i="2" a="1"/>
  <c r="BQ27" i="2" a="1"/>
  <c r="C33" i="6" a="1"/>
  <c r="B30" i="6" a="1"/>
  <c r="AU24" i="2" a="1"/>
  <c r="AE33" i="2" a="1"/>
  <c r="AR33" i="2" a="1"/>
  <c r="N33" i="2" a="1"/>
  <c r="AV27" i="2" a="1"/>
  <c r="V24" i="2" a="1"/>
  <c r="AR30" i="2" a="1"/>
  <c r="BD30" i="2" a="1"/>
  <c r="AL33" i="2" a="1"/>
  <c r="H33" i="2" a="1"/>
  <c r="AI22" i="2" a="1"/>
  <c r="BG33" i="2" a="1"/>
  <c r="C30" i="6" a="1"/>
  <c r="BP30" i="2" a="1"/>
  <c r="BB22" i="2" a="1"/>
  <c r="AZ39" i="2" a="1"/>
  <c r="BD27" i="2" a="1"/>
  <c r="BS22" i="2" a="1"/>
  <c r="BJ39" i="2" a="1"/>
  <c r="AS30" i="2" a="1"/>
  <c r="BR39" i="2" a="1"/>
  <c r="Q22" i="2" a="1"/>
  <c r="AQ36" i="2" a="1"/>
  <c r="AQ30" i="2" a="1"/>
  <c r="Q24" i="2" a="1"/>
  <c r="AK24" i="2" a="1"/>
  <c r="AN24" i="2" a="1"/>
  <c r="AL24" i="2" a="1"/>
  <c r="AD24" i="2" a="1"/>
  <c r="BE24" i="2" a="1"/>
  <c r="BE39" i="2" a="1"/>
  <c r="AD30" i="2" a="1"/>
  <c r="H27" i="2" a="1"/>
  <c r="AR36" i="2" a="1"/>
  <c r="AX36" i="2" a="1"/>
  <c r="AY33" i="2" a="1"/>
  <c r="R24" i="2" a="1"/>
  <c r="AP33" i="2" a="1"/>
  <c r="BH33" i="2" a="1"/>
  <c r="Q33" i="2" a="1"/>
  <c r="L24" i="2" a="1"/>
  <c r="BP24" i="2" a="1"/>
  <c r="BF30" i="2" a="1"/>
  <c r="AX33" i="2" a="1"/>
  <c r="BP39" i="2" a="1"/>
  <c r="AI39" i="2" a="1"/>
  <c r="AS39" i="2" a="1"/>
  <c r="BR27" i="2" a="1"/>
  <c r="BL36" i="2" a="1"/>
  <c r="AN22" i="2" a="1"/>
  <c r="BR36" i="2" a="1"/>
  <c r="V30" i="2" a="1"/>
  <c r="BF39" i="2" a="1"/>
  <c r="U36" i="2" a="1"/>
  <c r="AC33" i="2" a="1"/>
  <c r="B33" i="6" a="1"/>
  <c r="AM24" i="2" a="1"/>
  <c r="BM30" i="2" a="1"/>
  <c r="I22" i="2" a="1"/>
  <c r="J33" i="2" a="1"/>
  <c r="AX24" i="2" a="1"/>
  <c r="R22" i="2" a="1"/>
  <c r="X33" i="2" a="1"/>
  <c r="AF39" i="2" a="1"/>
  <c r="AZ33" i="2" a="1"/>
  <c r="BF27" i="2" a="1"/>
  <c r="G30" i="2" a="1"/>
  <c r="BO27" i="2" a="1"/>
  <c r="BH39" i="2" a="1"/>
  <c r="K30" i="2" a="1"/>
  <c r="AZ36" i="2" a="1"/>
  <c r="AV22" i="2" a="1"/>
  <c r="J39" i="2" a="1"/>
  <c r="AU33" i="2" a="1"/>
  <c r="BI39" i="2" a="1"/>
  <c r="BP27" i="2" a="1"/>
  <c r="AH27" i="2" a="1"/>
  <c r="BM24" i="2" a="1"/>
  <c r="X36" i="2" a="1"/>
  <c r="AW30" i="2" a="1"/>
  <c r="AM30" i="2" a="1"/>
  <c r="AQ39" i="2" a="1"/>
  <c r="BT22" i="2" a="1"/>
  <c r="AJ39" i="2" a="1"/>
  <c r="BN36" i="2" a="1"/>
  <c r="L22" i="2" a="1"/>
  <c r="AJ22" i="2" a="1"/>
  <c r="AS36" i="2" a="1"/>
  <c r="K22" i="2" a="1"/>
  <c r="P30" i="2" a="1"/>
  <c r="AO39" i="2" a="1"/>
  <c r="C32" i="6" a="1"/>
  <c r="AQ22" i="2" a="1"/>
  <c r="AA36" i="2" a="1"/>
  <c r="AM36" i="2" a="1"/>
  <c r="X24" i="2" a="1"/>
  <c r="AI33" i="2" a="1"/>
  <c r="BP36" i="2" a="1"/>
  <c r="AD27" i="2" a="1"/>
  <c r="AX30" i="2" a="1"/>
  <c r="I24" i="2" a="1"/>
  <c r="Y30" i="2" a="1"/>
  <c r="BL39" i="2" a="1"/>
  <c r="AJ36" i="2" a="1"/>
  <c r="AH24" i="2" a="1"/>
  <c r="AV36" i="2" a="1"/>
  <c r="AO22" i="2" a="1"/>
  <c r="AA22" i="2" a="1"/>
  <c r="AI36" i="2" a="1"/>
  <c r="AQ24" i="2" a="1"/>
  <c r="Y24" i="2" a="1"/>
  <c r="BE36" i="2" a="1"/>
  <c r="AX22" i="2" a="1"/>
  <c r="AG22" i="2" a="1"/>
  <c r="BH24" i="2" a="1"/>
  <c r="AO24" i="2" a="1"/>
  <c r="BR24" i="2" a="1"/>
  <c r="AL30" i="2" a="1"/>
  <c r="BJ27" i="2" a="1"/>
  <c r="AD33" i="2" a="1"/>
  <c r="AT24" i="2" a="1"/>
  <c r="U22" i="2" a="1"/>
  <c r="J36" i="2" a="1"/>
  <c r="Z33" i="2" a="1"/>
  <c r="AP30" i="2" a="1"/>
  <c r="BT30" i="2" a="1"/>
  <c r="BD39" i="2" a="1"/>
  <c r="AD22" i="2" a="1"/>
  <c r="L30" i="2" a="1"/>
  <c r="O30" i="2" a="1"/>
  <c r="BG36" i="2" a="1"/>
  <c r="BK30" i="2" a="1"/>
  <c r="BO36" i="2" a="1"/>
  <c r="AK22" i="2" a="1"/>
  <c r="BJ24" i="2" a="1"/>
  <c r="BN24" i="2" a="1"/>
  <c r="BO30" i="2" a="1"/>
  <c r="BK33" i="2" a="1"/>
  <c r="BO33" i="2" a="1"/>
  <c r="Y36" i="2" a="1"/>
  <c r="AK33" i="2" a="1"/>
  <c r="K39" i="2" a="1"/>
  <c r="BC30" i="2" a="1"/>
  <c r="AW36" i="2" a="1"/>
  <c r="BM36" i="2" a="1"/>
  <c r="M36" i="2" a="1"/>
  <c r="BI22" i="2" a="1"/>
  <c r="AR24" i="2" a="1"/>
  <c r="R36" i="2" a="1"/>
  <c r="O22" i="2" a="1"/>
  <c r="AT39" i="2" a="1"/>
  <c r="AI27" i="2" a="1"/>
  <c r="Y39" i="2" a="1"/>
  <c r="O27" i="2" a="1"/>
  <c r="J30" i="2" a="1"/>
  <c r="BQ36" i="2" a="1"/>
  <c r="AP24" i="2" a="1"/>
  <c r="BE30" i="2" a="1"/>
  <c r="BQ39" i="2" a="1"/>
  <c r="I27" i="2" a="1"/>
  <c r="BS36" i="2" a="1"/>
  <c r="BN30" i="2" a="1"/>
  <c r="AB36" i="2" a="1"/>
  <c r="BI36" i="2" a="1"/>
  <c r="AL22" i="2" a="1"/>
  <c r="BS24" i="2" a="1"/>
  <c r="AA27" i="2" a="1"/>
  <c r="M24" i="2" a="1"/>
  <c r="AU27" i="2" a="1"/>
  <c r="AO33" i="2" a="1"/>
  <c r="BA22" i="2" a="1"/>
  <c r="AG30" i="2" a="1"/>
  <c r="AK36" i="2" a="1"/>
  <c r="U27" i="2" a="1"/>
  <c r="J22" i="2" a="1"/>
  <c r="T33" i="2" a="1"/>
  <c r="AO30" i="2" a="1"/>
  <c r="K36" i="2" a="1"/>
  <c r="S24" i="2" a="1"/>
  <c r="BG39" i="2" a="1"/>
  <c r="BM39" i="2" a="1"/>
  <c r="W36" i="2" a="1"/>
  <c r="AV33" i="2" a="1"/>
  <c r="N30" i="2" a="1"/>
  <c r="AN30" i="2" a="1"/>
  <c r="BQ33" i="2" a="1"/>
  <c r="AF30" i="2" a="1"/>
  <c r="BJ22" i="2" a="1"/>
  <c r="T22" i="2" a="1"/>
  <c r="AI24" i="2" a="1"/>
  <c r="Q36" i="2" a="1"/>
  <c r="AE22" i="2" a="1"/>
  <c r="BG27" i="2" a="1"/>
  <c r="BF36" i="2" a="1"/>
  <c r="AF24" i="2" a="1"/>
  <c r="L33" i="2" a="1"/>
  <c r="AY22" i="2" a="1"/>
  <c r="BK27" i="2" a="1"/>
  <c r="L39" i="2" a="1"/>
  <c r="V22" i="2" a="1"/>
  <c r="BL24" i="2" a="1"/>
  <c r="AO36" i="2" a="1"/>
  <c r="BR22" i="2" a="1"/>
  <c r="AC27" i="2" a="1"/>
  <c r="AH30" i="2" a="1"/>
  <c r="G33" i="2" a="1"/>
  <c r="BC39" i="2" a="1"/>
  <c r="S30" i="2" a="1"/>
  <c r="I33" i="2" a="1"/>
  <c r="W33" i="2" a="1"/>
  <c r="BT39" i="2" a="1"/>
  <c r="S27" i="2" a="1"/>
  <c r="AS33" i="2" a="1"/>
  <c r="AT27" i="2" a="1"/>
  <c r="BO39" i="2" a="1"/>
  <c r="V27" i="2" a="1"/>
  <c r="Y33" i="2" a="1"/>
  <c r="T27" i="2" a="1"/>
  <c r="BH27" i="2" a="1"/>
  <c r="BI27" i="2" a="1"/>
  <c r="I30" i="2" a="1"/>
  <c r="M22" i="2" a="1"/>
  <c r="P22" i="2" a="1"/>
  <c r="AV30" i="2" a="1"/>
  <c r="BA27" i="2" a="1"/>
  <c r="P33" i="2" a="1"/>
  <c r="V36" i="2" a="1"/>
  <c r="BB36" i="2" a="1"/>
  <c r="BB33" i="2" a="1"/>
  <c r="B31" i="6" a="1"/>
  <c r="AF33" i="2" a="1"/>
  <c r="AC24" i="2" a="1"/>
  <c r="BT27" i="2" a="1"/>
  <c r="O33" i="2" a="1"/>
  <c r="AN39" i="2" a="1"/>
  <c r="O36" i="2" a="1"/>
  <c r="AT36" i="2" a="1"/>
  <c r="AS22" i="2" a="1"/>
  <c r="P39" i="2" a="1"/>
  <c r="BI33" i="2" a="1"/>
  <c r="AQ33" i="2" a="1"/>
  <c r="Z22" i="2" a="1"/>
  <c r="AP36" i="2" a="1"/>
  <c r="H30" i="2" a="1"/>
  <c r="AK30" i="2" a="1"/>
  <c r="AF36" i="2" a="1"/>
  <c r="AA39" i="2" a="1"/>
  <c r="BF33" i="2" a="1"/>
  <c r="O39" i="2" a="1"/>
  <c r="J27" i="2" a="1"/>
  <c r="B32" i="6" a="1"/>
  <c r="AT22" i="2" a="1"/>
  <c r="AX39" i="2" a="1"/>
  <c r="N27" i="2" a="1"/>
  <c r="AB22" i="2" a="1"/>
  <c r="AW39" i="2" a="1"/>
  <c r="BO24" i="2" a="1"/>
  <c r="AY39" i="2" a="1"/>
  <c r="AC22" i="2" a="1"/>
  <c r="O24" i="2" a="1"/>
  <c r="AZ27" i="2" a="1"/>
  <c r="K27" i="2" a="1"/>
  <c r="R30" i="2" a="1"/>
  <c r="BL30" i="2" a="1"/>
  <c r="BM22" i="2" a="1"/>
  <c r="W30" i="2" a="1"/>
  <c r="AV24" i="2" a="1"/>
  <c r="AT33" i="2" a="1"/>
  <c r="Z39" i="2" a="1"/>
  <c r="AL39" i="2" a="1"/>
  <c r="BI24" i="2" a="1"/>
  <c r="AC36" i="2" a="1"/>
  <c r="AU30" i="2" a="1"/>
  <c r="BT24" i="2" a="1"/>
  <c r="AG27" i="2" a="1"/>
  <c r="AN36" i="2" a="1"/>
  <c r="AG33" i="2" a="1"/>
  <c r="R39" i="2" a="1"/>
  <c r="BM27" i="2" a="1"/>
  <c r="M30" i="2" a="1"/>
  <c r="Q27" i="2" a="1"/>
  <c r="BA39" i="2" a="1"/>
  <c r="BC27" i="2" a="1"/>
  <c r="BB27" i="2" a="1"/>
  <c r="AA33" i="2" a="1"/>
  <c r="T36" i="2" a="1"/>
  <c r="AE39" i="2" a="1"/>
  <c r="BH36" i="2" a="1"/>
  <c r="BC36" i="2" a="1"/>
  <c r="AB33" i="2" a="1"/>
  <c r="BA36" i="2" a="1"/>
  <c r="T24" i="2" a="1"/>
  <c r="M33" i="2" a="1"/>
  <c r="BD36" i="2" a="1"/>
  <c r="BS30" i="2" a="1"/>
  <c r="AP27" i="2" a="1"/>
  <c r="N22" i="2" a="1"/>
  <c r="AR22" i="2" a="1"/>
  <c r="BN22" i="2" a="1"/>
  <c r="BP22" i="2" a="1"/>
  <c r="AN33" i="2" a="1"/>
  <c r="N36" i="2" a="1"/>
  <c r="AJ24" i="2" a="1"/>
  <c r="BP33" i="2" a="1"/>
  <c r="H39" i="2" a="1"/>
  <c r="BA24" i="2" a="1"/>
  <c r="S22" i="2" a="1"/>
  <c r="BE22" i="2" a="1"/>
  <c r="H24" i="2" a="1"/>
  <c r="C34" i="6" l="1"/>
  <c r="C33" i="6"/>
  <c r="C32" i="6"/>
  <c r="C31" i="6"/>
  <c r="C30" i="6"/>
  <c r="B34" i="6"/>
  <c r="B33" i="6"/>
  <c r="B35" i="6" s="1"/>
  <c r="C35" i="6" s="1"/>
  <c r="B32" i="6"/>
  <c r="B38" i="6" s="1"/>
  <c r="C38" i="6" s="1"/>
  <c r="B31" i="6"/>
  <c r="B48" i="6" s="1"/>
  <c r="B30" i="6"/>
  <c r="AM39" i="2"/>
  <c r="AP39" i="2"/>
  <c r="AB39" i="2"/>
  <c r="S39" i="2"/>
  <c r="AA39" i="2"/>
  <c r="N39" i="2"/>
  <c r="BH39" i="2"/>
  <c r="BB39" i="2"/>
  <c r="Q39" i="2"/>
  <c r="AN39" i="2"/>
  <c r="Z39" i="2"/>
  <c r="X39" i="2"/>
  <c r="K39" i="2"/>
  <c r="BI39" i="2"/>
  <c r="BO39" i="2"/>
  <c r="AE39" i="2"/>
  <c r="BN39" i="2"/>
  <c r="AO39" i="2"/>
  <c r="AY39" i="2"/>
  <c r="AT39" i="2"/>
  <c r="BM39" i="2"/>
  <c r="BL39" i="2"/>
  <c r="BK39" i="2"/>
  <c r="AL39" i="2"/>
  <c r="AK39" i="2"/>
  <c r="AV39" i="2"/>
  <c r="BG39" i="2"/>
  <c r="W39" i="2"/>
  <c r="AH39" i="2"/>
  <c r="V39" i="2"/>
  <c r="J39" i="2"/>
  <c r="AQ39" i="2"/>
  <c r="AD39" i="2"/>
  <c r="AZ39" i="2"/>
  <c r="M39" i="2"/>
  <c r="BT39" i="2"/>
  <c r="AJ39" i="2"/>
  <c r="BQ39" i="2"/>
  <c r="AG39" i="2"/>
  <c r="I39" i="2"/>
  <c r="BC39" i="2"/>
  <c r="AC39" i="2"/>
  <c r="O39" i="2"/>
  <c r="AX39" i="2"/>
  <c r="AW39" i="2"/>
  <c r="BS39" i="2"/>
  <c r="AU39" i="2"/>
  <c r="BR39" i="2"/>
  <c r="U39" i="2"/>
  <c r="R39" i="2"/>
  <c r="BA39" i="2"/>
  <c r="P39" i="2"/>
  <c r="BJ39" i="2"/>
  <c r="Y39" i="2"/>
  <c r="L39" i="2"/>
  <c r="AI39" i="2"/>
  <c r="BF39" i="2"/>
  <c r="BE39" i="2"/>
  <c r="AS39" i="2"/>
  <c r="BP39" i="2"/>
  <c r="BD39" i="2"/>
  <c r="AR39" i="2"/>
  <c r="AF39" i="2"/>
  <c r="T39" i="2"/>
  <c r="H39" i="2"/>
  <c r="S36" i="2"/>
  <c r="BB36" i="2"/>
  <c r="BA36" i="2"/>
  <c r="O36" i="2"/>
  <c r="AE36" i="2"/>
  <c r="AD36" i="2"/>
  <c r="P36" i="2"/>
  <c r="BK36" i="2"/>
  <c r="AL36" i="2"/>
  <c r="L36" i="2"/>
  <c r="R36" i="2"/>
  <c r="BM36" i="2"/>
  <c r="AN36" i="2"/>
  <c r="AM36" i="2"/>
  <c r="BI36" i="2"/>
  <c r="Q36" i="2"/>
  <c r="K36" i="2"/>
  <c r="BC36" i="2"/>
  <c r="BL36" i="2"/>
  <c r="AX36" i="2"/>
  <c r="AK36" i="2"/>
  <c r="AT36" i="2"/>
  <c r="BN36" i="2"/>
  <c r="AO36" i="2"/>
  <c r="AA36" i="2"/>
  <c r="Y36" i="2"/>
  <c r="X36" i="2"/>
  <c r="BG36" i="2"/>
  <c r="AU36" i="2"/>
  <c r="BR36" i="2"/>
  <c r="J36" i="2"/>
  <c r="AQ36" i="2"/>
  <c r="AP36" i="2"/>
  <c r="AB36" i="2"/>
  <c r="AY36" i="2"/>
  <c r="BJ36" i="2"/>
  <c r="N36" i="2"/>
  <c r="AJ36" i="2"/>
  <c r="W36" i="2"/>
  <c r="BF36" i="2"/>
  <c r="AH36" i="2"/>
  <c r="BQ36" i="2"/>
  <c r="BE36" i="2"/>
  <c r="AS36" i="2"/>
  <c r="AG36" i="2"/>
  <c r="U36" i="2"/>
  <c r="I36" i="2"/>
  <c r="AC36" i="2"/>
  <c r="AW36" i="2"/>
  <c r="BH36" i="2"/>
  <c r="BS36" i="2"/>
  <c r="V36" i="2"/>
  <c r="BO36" i="2"/>
  <c r="AZ36" i="2"/>
  <c r="Z36" i="2"/>
  <c r="M36" i="2"/>
  <c r="BT36" i="2"/>
  <c r="AV36" i="2"/>
  <c r="AI36" i="2"/>
  <c r="BP36" i="2"/>
  <c r="BD36" i="2"/>
  <c r="AR36" i="2"/>
  <c r="AF36" i="2"/>
  <c r="T36" i="2"/>
  <c r="H36" i="2"/>
  <c r="AQ33" i="2"/>
  <c r="AD33" i="2"/>
  <c r="BA33" i="2"/>
  <c r="BL33" i="2"/>
  <c r="BT33" i="2"/>
  <c r="BN33" i="2"/>
  <c r="Q33" i="2"/>
  <c r="P33" i="2"/>
  <c r="O33" i="2"/>
  <c r="L33" i="2"/>
  <c r="S33" i="2"/>
  <c r="BB33" i="2"/>
  <c r="AZ33" i="2"/>
  <c r="AX33" i="2"/>
  <c r="Y33" i="2"/>
  <c r="BH33" i="2"/>
  <c r="AU33" i="2"/>
  <c r="K33" i="2"/>
  <c r="BC33" i="2"/>
  <c r="BK33" i="2"/>
  <c r="AM33" i="2"/>
  <c r="AK33" i="2"/>
  <c r="AP33" i="2"/>
  <c r="AC33" i="2"/>
  <c r="N33" i="2"/>
  <c r="BI33" i="2"/>
  <c r="X33" i="2"/>
  <c r="AT33" i="2"/>
  <c r="J33" i="2"/>
  <c r="BJ33" i="2"/>
  <c r="BO33" i="2"/>
  <c r="AB33" i="2"/>
  <c r="AA33" i="2"/>
  <c r="AL33" i="2"/>
  <c r="AV33" i="2"/>
  <c r="BG33" i="2"/>
  <c r="BF33" i="2"/>
  <c r="AH33" i="2"/>
  <c r="BQ33" i="2"/>
  <c r="BE33" i="2"/>
  <c r="AS33" i="2"/>
  <c r="AG33" i="2"/>
  <c r="I33" i="2"/>
  <c r="R33" i="2"/>
  <c r="AO33" i="2"/>
  <c r="AN33" i="2"/>
  <c r="AY33" i="2"/>
  <c r="Z33" i="2"/>
  <c r="M33" i="2"/>
  <c r="BS33" i="2"/>
  <c r="AI33" i="2"/>
  <c r="BR33" i="2"/>
  <c r="V33" i="2"/>
  <c r="U33" i="2"/>
  <c r="AE33" i="2"/>
  <c r="BM33" i="2"/>
  <c r="AW33" i="2"/>
  <c r="AJ33" i="2"/>
  <c r="W33" i="2"/>
  <c r="BP33" i="2"/>
  <c r="BD33" i="2"/>
  <c r="AR33" i="2"/>
  <c r="AF33" i="2"/>
  <c r="T33" i="2"/>
  <c r="H33" i="2"/>
  <c r="BO30" i="2"/>
  <c r="AD30" i="2"/>
  <c r="AZ30" i="2"/>
  <c r="AY30" i="2"/>
  <c r="X30" i="2"/>
  <c r="AQ30" i="2"/>
  <c r="BB30" i="2"/>
  <c r="AO30" i="2"/>
  <c r="AX30" i="2"/>
  <c r="AE30" i="2"/>
  <c r="R30" i="2"/>
  <c r="AC30" i="2"/>
  <c r="M30" i="2"/>
  <c r="BH30" i="2"/>
  <c r="AU30" i="2"/>
  <c r="AI30" i="2"/>
  <c r="W30" i="2"/>
  <c r="K30" i="2"/>
  <c r="S30" i="2"/>
  <c r="BN30" i="2"/>
  <c r="BA30" i="2"/>
  <c r="BL30" i="2"/>
  <c r="BJ30" i="2"/>
  <c r="BC30" i="2"/>
  <c r="Q30" i="2"/>
  <c r="N30" i="2"/>
  <c r="BI30" i="2"/>
  <c r="AJ30" i="2"/>
  <c r="AT30" i="2"/>
  <c r="V30" i="2"/>
  <c r="J30" i="2"/>
  <c r="P30" i="2"/>
  <c r="BK30" i="2"/>
  <c r="AA30" i="2"/>
  <c r="Z30" i="2"/>
  <c r="Y30" i="2"/>
  <c r="AV30" i="2"/>
  <c r="BG30" i="2"/>
  <c r="BR30" i="2"/>
  <c r="BQ30" i="2"/>
  <c r="I30" i="2"/>
  <c r="AN30" i="2"/>
  <c r="O30" i="2"/>
  <c r="AL30" i="2"/>
  <c r="AK30" i="2"/>
  <c r="L30" i="2"/>
  <c r="BF30" i="2"/>
  <c r="AH30" i="2"/>
  <c r="BE30" i="2"/>
  <c r="AS30" i="2"/>
  <c r="AG30" i="2"/>
  <c r="U30" i="2"/>
  <c r="AP30" i="2"/>
  <c r="BM30" i="2"/>
  <c r="AB30" i="2"/>
  <c r="AM30" i="2"/>
  <c r="AW30" i="2"/>
  <c r="BT30" i="2"/>
  <c r="BS30" i="2"/>
  <c r="BP30" i="2"/>
  <c r="BD30" i="2"/>
  <c r="AR30" i="2"/>
  <c r="AF30" i="2"/>
  <c r="T30" i="2"/>
  <c r="H30" i="2"/>
  <c r="G39" i="2"/>
  <c r="G36" i="2"/>
  <c r="G33" i="2"/>
  <c r="G30" i="2"/>
  <c r="K29" i="3"/>
  <c r="Q27" i="2"/>
  <c r="BC27" i="2"/>
  <c r="AO27" i="2"/>
  <c r="AA27" i="2"/>
  <c r="R27" i="2"/>
  <c r="S27" i="2"/>
  <c r="BB27" i="2"/>
  <c r="BA27" i="2"/>
  <c r="AB27" i="2"/>
  <c r="AU27" i="2"/>
  <c r="AE27" i="2"/>
  <c r="AN27" i="2"/>
  <c r="AX27" i="2"/>
  <c r="J27" i="2"/>
  <c r="AQ27" i="2"/>
  <c r="AP27" i="2"/>
  <c r="AZ27" i="2"/>
  <c r="AY27" i="2"/>
  <c r="O27" i="2"/>
  <c r="AL27" i="2"/>
  <c r="AK27" i="2"/>
  <c r="L27" i="2"/>
  <c r="BF27" i="2"/>
  <c r="BN27" i="2"/>
  <c r="P27" i="2"/>
  <c r="AM27" i="2"/>
  <c r="N27" i="2"/>
  <c r="M27" i="2"/>
  <c r="BT27" i="2"/>
  <c r="AJ27" i="2"/>
  <c r="AI27" i="2"/>
  <c r="BR27" i="2"/>
  <c r="AH27" i="2"/>
  <c r="BE27" i="2"/>
  <c r="AG27" i="2"/>
  <c r="I27" i="2"/>
  <c r="AD27" i="2"/>
  <c r="BM27" i="2"/>
  <c r="BK27" i="2"/>
  <c r="BI27" i="2"/>
  <c r="AV27" i="2"/>
  <c r="BG27" i="2"/>
  <c r="K27" i="2"/>
  <c r="V27" i="2"/>
  <c r="BQ27" i="2"/>
  <c r="AS27" i="2"/>
  <c r="U27" i="2"/>
  <c r="BO27" i="2"/>
  <c r="AC27" i="2"/>
  <c r="BL27" i="2"/>
  <c r="BJ27" i="2"/>
  <c r="Z27" i="2"/>
  <c r="AW27" i="2"/>
  <c r="Y27" i="2"/>
  <c r="BH27" i="2"/>
  <c r="X27" i="2"/>
  <c r="BS27" i="2"/>
  <c r="W27" i="2"/>
  <c r="AT27" i="2"/>
  <c r="BP27" i="2"/>
  <c r="BD27" i="2"/>
  <c r="AR27" i="2"/>
  <c r="AF27" i="2"/>
  <c r="T27" i="2"/>
  <c r="H27" i="2"/>
  <c r="G27" i="2"/>
  <c r="BK24" i="2"/>
  <c r="BO24" i="2"/>
  <c r="AC24" i="2"/>
  <c r="AE24" i="2"/>
  <c r="AD24" i="2"/>
  <c r="BA24" i="2"/>
  <c r="BL24" i="2"/>
  <c r="BH24" i="2"/>
  <c r="BC24" i="2"/>
  <c r="AN24" i="2"/>
  <c r="AM24" i="2"/>
  <c r="N24" i="2"/>
  <c r="Y24" i="2"/>
  <c r="AJ24" i="2"/>
  <c r="K24" i="2"/>
  <c r="AQ24" i="2"/>
  <c r="R24" i="2"/>
  <c r="AO24" i="2"/>
  <c r="AZ24" i="2"/>
  <c r="BJ24" i="2"/>
  <c r="AK24" i="2"/>
  <c r="AI24" i="2"/>
  <c r="BN24" i="2"/>
  <c r="BM24" i="2"/>
  <c r="AB24" i="2"/>
  <c r="AY24" i="2"/>
  <c r="O24" i="2"/>
  <c r="AW24" i="2"/>
  <c r="J24" i="2"/>
  <c r="AL24" i="2"/>
  <c r="BT24" i="2"/>
  <c r="AP24" i="2"/>
  <c r="P24" i="2"/>
  <c r="AA24" i="2"/>
  <c r="AX24" i="2"/>
  <c r="BI24" i="2"/>
  <c r="X24" i="2"/>
  <c r="AU24" i="2"/>
  <c r="BF24" i="2"/>
  <c r="V24" i="2"/>
  <c r="I24" i="2"/>
  <c r="S24" i="2"/>
  <c r="BB24" i="2"/>
  <c r="Q24" i="2"/>
  <c r="Z24" i="2"/>
  <c r="M24" i="2"/>
  <c r="AV24" i="2"/>
  <c r="L24" i="2"/>
  <c r="BS24" i="2"/>
  <c r="BG24" i="2"/>
  <c r="W24" i="2"/>
  <c r="BR24" i="2"/>
  <c r="AT24" i="2"/>
  <c r="AH24" i="2"/>
  <c r="BQ24" i="2"/>
  <c r="BE24" i="2"/>
  <c r="AS24" i="2"/>
  <c r="AG24" i="2"/>
  <c r="U24" i="2"/>
  <c r="BP24" i="2"/>
  <c r="BD24" i="2"/>
  <c r="AR24" i="2"/>
  <c r="AF24" i="2"/>
  <c r="T24" i="2"/>
  <c r="H24" i="2"/>
  <c r="G24" i="2"/>
  <c r="D12" i="3"/>
  <c r="G22" i="2"/>
  <c r="H22" i="2"/>
  <c r="T22" i="2"/>
  <c r="AF22" i="2"/>
  <c r="AR22" i="2"/>
  <c r="BD22" i="2"/>
  <c r="BP22" i="2"/>
  <c r="AJ22" i="2"/>
  <c r="AW22" i="2"/>
  <c r="AX22" i="2"/>
  <c r="O22" i="2"/>
  <c r="AN22" i="2"/>
  <c r="AC22" i="2"/>
  <c r="BA22" i="2"/>
  <c r="AP22" i="2"/>
  <c r="BC22" i="2"/>
  <c r="U22" i="2"/>
  <c r="BE22" i="2"/>
  <c r="L22" i="2"/>
  <c r="AK22" i="2"/>
  <c r="Z22" i="2"/>
  <c r="AY22" i="2"/>
  <c r="AB22" i="2"/>
  <c r="BL22" i="2"/>
  <c r="AO22" i="2"/>
  <c r="BN22" i="2"/>
  <c r="AQ22" i="2"/>
  <c r="I22" i="2"/>
  <c r="AG22" i="2"/>
  <c r="AS22" i="2"/>
  <c r="BQ22" i="2"/>
  <c r="BH22" i="2"/>
  <c r="BI22" i="2"/>
  <c r="AL22" i="2"/>
  <c r="BK22" i="2"/>
  <c r="Q22" i="2"/>
  <c r="BM22" i="2"/>
  <c r="BB22" i="2"/>
  <c r="S22" i="2"/>
  <c r="J22" i="2"/>
  <c r="V22" i="2"/>
  <c r="AH22" i="2"/>
  <c r="AT22" i="2"/>
  <c r="BF22" i="2"/>
  <c r="BR22" i="2"/>
  <c r="AV22" i="2"/>
  <c r="M22" i="2"/>
  <c r="N22" i="2"/>
  <c r="AM22" i="2"/>
  <c r="AZ22" i="2"/>
  <c r="R22" i="2"/>
  <c r="AE22" i="2"/>
  <c r="K22" i="2"/>
  <c r="W22" i="2"/>
  <c r="AI22" i="2"/>
  <c r="AU22" i="2"/>
  <c r="BG22" i="2"/>
  <c r="BS22" i="2"/>
  <c r="X22" i="2"/>
  <c r="BT22" i="2"/>
  <c r="Y22" i="2"/>
  <c r="BJ22" i="2"/>
  <c r="AA22" i="2"/>
  <c r="P22" i="2"/>
  <c r="AD22" i="2"/>
  <c r="BO22" i="2"/>
  <c r="B50" i="6"/>
  <c r="C48" i="6"/>
  <c r="B51" i="6"/>
  <c r="B40" i="6"/>
  <c r="C40" i="6" s="1"/>
  <c r="C51" i="6"/>
  <c r="B49" i="6"/>
  <c r="B56" i="6"/>
  <c r="B54" i="6"/>
  <c r="C56" i="6"/>
  <c r="C58" i="6"/>
  <c r="C37" i="6"/>
  <c r="C54" i="6" s="1"/>
  <c r="B15" i="6"/>
  <c r="B41" i="6"/>
  <c r="B26" i="6"/>
  <c r="C26" i="6" s="1"/>
  <c r="B24" i="6"/>
  <c r="C24" i="6" s="1"/>
  <c r="C17" i="6"/>
  <c r="C49" i="6" s="1"/>
  <c r="C18" i="6"/>
  <c r="C50" i="6" s="1"/>
  <c r="B22" i="6"/>
  <c r="C22" i="6" s="1"/>
  <c r="B21" i="6"/>
  <c r="C21" i="6" s="1"/>
  <c r="B27" i="6"/>
  <c r="B20" i="6"/>
  <c r="AU28" i="2" a="1"/>
  <c r="BK28" i="2" a="1"/>
  <c r="BG31" i="2" a="1"/>
  <c r="AD28" i="3" a="1"/>
  <c r="BB25" i="2" a="1"/>
  <c r="P25" i="2" a="1"/>
  <c r="AI25" i="2" a="1"/>
  <c r="V25" i="2" a="1"/>
  <c r="BD34" i="2" a="1"/>
  <c r="Z37" i="2" a="1"/>
  <c r="H34" i="2" a="1"/>
  <c r="AL34" i="2" a="1"/>
  <c r="AA31" i="2" a="1"/>
  <c r="BS25" i="2" a="1"/>
  <c r="L34" i="2" a="1"/>
  <c r="AS25" i="2" a="1"/>
  <c r="U28" i="2" a="1"/>
  <c r="BL34" i="2" a="1"/>
  <c r="AC31" i="2" a="1"/>
  <c r="AC28" i="3" a="1"/>
  <c r="AT28" i="2" a="1"/>
  <c r="BS28" i="2" a="1"/>
  <c r="BN28" i="2" a="1"/>
  <c r="N37" i="2" a="1"/>
  <c r="AH28" i="3" a="1"/>
  <c r="G28" i="2" a="1"/>
  <c r="V31" i="2" a="1"/>
  <c r="BM37" i="2" a="1"/>
  <c r="AE31" i="2" a="1"/>
  <c r="S31" i="2" a="1"/>
  <c r="AW28" i="3" a="1"/>
  <c r="BH25" i="2" a="1"/>
  <c r="Z25" i="2" a="1"/>
  <c r="AX31" i="2" a="1"/>
  <c r="AQ28" i="3" a="1"/>
  <c r="AK37" i="2" a="1"/>
  <c r="BA28" i="3" a="1"/>
  <c r="AQ34" i="2" a="1"/>
  <c r="BL31" i="2" a="1"/>
  <c r="U37" i="2" a="1"/>
  <c r="W34" i="2" a="1"/>
  <c r="AT28" i="3" a="1"/>
  <c r="AJ34" i="2" a="1"/>
  <c r="BI37" i="2" a="1"/>
  <c r="BI28" i="2" a="1"/>
  <c r="BT25" i="2" a="1"/>
  <c r="K31" i="2" a="1"/>
  <c r="AB37" i="2" a="1"/>
  <c r="BI34" i="2" a="1"/>
  <c r="T37" i="2" a="1"/>
  <c r="BM28" i="3" a="1"/>
  <c r="AN28" i="2" a="1"/>
  <c r="AU25" i="2" a="1"/>
  <c r="AI28" i="3" a="1"/>
  <c r="AS28" i="2" a="1"/>
  <c r="AN25" i="2" a="1"/>
  <c r="AT37" i="2" a="1"/>
  <c r="BD25" i="2" a="1"/>
  <c r="BD37" i="2" a="1"/>
  <c r="AW34" i="2" a="1"/>
  <c r="P34" i="2" a="1"/>
  <c r="AX28" i="3" a="1"/>
  <c r="AF34" i="2" a="1"/>
  <c r="T28" i="2" a="1"/>
  <c r="P28" i="3" a="1"/>
  <c r="O37" i="2" a="1"/>
  <c r="BE25" i="2" a="1"/>
  <c r="O31" i="2" a="1"/>
  <c r="AR31" i="2" a="1"/>
  <c r="BQ28" i="2" a="1"/>
  <c r="AV28" i="2" a="1"/>
  <c r="X25" i="2" a="1"/>
  <c r="AY37" i="2" a="1"/>
  <c r="J31" i="2" a="1"/>
  <c r="BT31" i="2" a="1"/>
  <c r="AO34" i="2" a="1"/>
  <c r="AE28" i="3" a="1"/>
  <c r="AG34" i="2" a="1"/>
  <c r="AG25" i="2" a="1"/>
  <c r="AU31" i="2" a="1"/>
  <c r="U31" i="2" a="1"/>
  <c r="BF28" i="3" a="1"/>
  <c r="AG37" i="2" a="1"/>
  <c r="AZ28" i="2" a="1"/>
  <c r="BP31" i="2" a="1"/>
  <c r="AK28" i="3" a="1"/>
  <c r="I37" i="2" a="1"/>
  <c r="BD28" i="3" a="1"/>
  <c r="L28" i="3" a="1"/>
  <c r="BP25" i="2" a="1"/>
  <c r="AR37" i="2" a="1"/>
  <c r="S28" i="3" a="1"/>
  <c r="AS28" i="3" a="1"/>
  <c r="AV28" i="3" a="1"/>
  <c r="Y25" i="2" a="1"/>
  <c r="N28" i="3" a="1"/>
  <c r="AD34" i="2" a="1"/>
  <c r="U28" i="3" a="1"/>
  <c r="AI34" i="2" a="1"/>
  <c r="K34" i="2" a="1"/>
  <c r="AE37" i="2" a="1"/>
  <c r="BO31" i="2" a="1"/>
  <c r="AH25" i="2" a="1"/>
  <c r="BT28" i="2" a="1"/>
  <c r="AP25" i="2" a="1"/>
  <c r="AH37" i="2" a="1"/>
  <c r="Y31" i="2" a="1"/>
  <c r="M25" i="2" a="1"/>
  <c r="L25" i="2" a="1"/>
  <c r="AZ25" i="2" a="1"/>
  <c r="AD25" i="2" a="1"/>
  <c r="G25" i="2" a="1"/>
  <c r="BE31" i="2" a="1"/>
  <c r="U25" i="2" a="1"/>
  <c r="T31" i="2" a="1"/>
  <c r="I34" i="2" a="1"/>
  <c r="BL25" i="2" a="1"/>
  <c r="AZ37" i="2" a="1"/>
  <c r="AT34" i="2" a="1"/>
  <c r="N28" i="2" a="1"/>
  <c r="AX25" i="2" a="1"/>
  <c r="Y28" i="2" a="1"/>
  <c r="AK28" i="2" a="1"/>
  <c r="AO28" i="3" a="1"/>
  <c r="X37" i="2" a="1"/>
  <c r="BD28" i="2" a="1"/>
  <c r="BF31" i="2" a="1"/>
  <c r="M34" i="2" a="1"/>
  <c r="AK25" i="2" a="1"/>
  <c r="Z28" i="3" a="1"/>
  <c r="BM25" i="2" a="1"/>
  <c r="AM31" i="2" a="1"/>
  <c r="BH34" i="2" a="1"/>
  <c r="V28" i="2" a="1"/>
  <c r="BE34" i="2" a="1"/>
  <c r="AX34" i="2" a="1"/>
  <c r="M28" i="2" a="1"/>
  <c r="BN25" i="2" a="1"/>
  <c r="AM34" i="2" a="1"/>
  <c r="AU28" i="3" a="1"/>
  <c r="BH28" i="2" a="1"/>
  <c r="AJ28" i="3" a="1"/>
  <c r="AR28" i="3" a="1"/>
  <c r="BJ28" i="3" a="1"/>
  <c r="BP37" i="2" a="1"/>
  <c r="J28" i="3" a="1"/>
  <c r="T28" i="3" a="1"/>
  <c r="Z34" i="2" a="1"/>
  <c r="AZ34" i="2" a="1"/>
  <c r="BK28" i="3" a="1"/>
  <c r="S34" i="2" a="1"/>
  <c r="BJ37" i="2" a="1"/>
  <c r="BB37" i="2" a="1"/>
  <c r="Q34" i="2" a="1"/>
  <c r="M28" i="3" a="1"/>
  <c r="AY28" i="2" a="1"/>
  <c r="AB28" i="3" a="1"/>
  <c r="BR34" i="2" a="1"/>
  <c r="AY31" i="2" a="1"/>
  <c r="N25" i="2" a="1"/>
  <c r="AO28" i="2" a="1"/>
  <c r="BO34" i="2" a="1"/>
  <c r="AQ25" i="2" a="1"/>
  <c r="BM31" i="2" a="1"/>
  <c r="BQ37" i="2" a="1"/>
  <c r="R28" i="3" a="1"/>
  <c r="L31" i="2" a="1"/>
  <c r="U34" i="2" a="1"/>
  <c r="AK34" i="2" a="1"/>
  <c r="G34" i="2" a="1"/>
  <c r="AP31" i="2" a="1"/>
  <c r="O28" i="3" a="1"/>
  <c r="AR28" i="2" a="1"/>
  <c r="W28" i="3" a="1"/>
  <c r="BR31" i="2" a="1"/>
  <c r="BR25" i="2" a="1"/>
  <c r="P37" i="2" a="1"/>
  <c r="V37" i="2" a="1"/>
  <c r="W28" i="2" a="1"/>
  <c r="BO28" i="2" a="1"/>
  <c r="BC34" i="2" a="1"/>
  <c r="BK37" i="2" a="1"/>
  <c r="AQ28" i="2" a="1"/>
  <c r="AN31" i="2" a="1"/>
  <c r="Q31" i="2" a="1"/>
  <c r="AS37" i="2" a="1"/>
  <c r="L28" i="2" a="1"/>
  <c r="AN37" i="2" a="1"/>
  <c r="AF28" i="2" a="1"/>
  <c r="AB34" i="2" a="1"/>
  <c r="BE28" i="2" a="1"/>
  <c r="Q28" i="2" a="1"/>
  <c r="AX37" i="2" a="1"/>
  <c r="G31" i="2" a="1"/>
  <c r="BL28" i="2" a="1"/>
  <c r="AR25" i="2" a="1"/>
  <c r="I28" i="3" a="1"/>
  <c r="BF28" i="2" a="1"/>
  <c r="BO37" i="2" a="1"/>
  <c r="Y37" i="2" a="1"/>
  <c r="R37" i="2" a="1"/>
  <c r="AV37" i="2" a="1"/>
  <c r="AO25" i="2" a="1"/>
  <c r="AC28" i="2" a="1"/>
  <c r="AI37" i="2" a="1"/>
  <c r="BQ25" i="2" a="1"/>
  <c r="AS31" i="2" a="1"/>
  <c r="BG28" i="2" a="1"/>
  <c r="BC31" i="2" a="1"/>
  <c r="AY25" i="2" a="1"/>
  <c r="BS34" i="2" a="1"/>
  <c r="AJ28" i="2" a="1"/>
  <c r="BF34" i="2" a="1"/>
  <c r="M37" i="2" a="1"/>
  <c r="AE28" i="2" a="1"/>
  <c r="AP37" i="2" a="1"/>
  <c r="AY34" i="2" a="1"/>
  <c r="I31" i="2" a="1"/>
  <c r="O25" i="2" a="1"/>
  <c r="K28" i="2" a="1"/>
  <c r="BP34" i="2" a="1"/>
  <c r="AC34" i="2" a="1"/>
  <c r="J37" i="2" a="1"/>
  <c r="AH28" i="2" a="1"/>
  <c r="J28" i="2" a="1"/>
  <c r="AM28" i="2" a="1"/>
  <c r="AI31" i="2" a="1"/>
  <c r="W37" i="2" a="1"/>
  <c r="Y28" i="3" a="1"/>
  <c r="AA34" i="2" a="1"/>
  <c r="S37" i="2" a="1"/>
  <c r="AP28" i="2" a="1"/>
  <c r="AQ31" i="2" a="1"/>
  <c r="AQ37" i="2" a="1"/>
  <c r="D28" i="3" a="1"/>
  <c r="J34" i="2" a="1"/>
  <c r="BS31" i="2" a="1"/>
  <c r="I28" i="2" a="1"/>
  <c r="BC25" i="2" a="1"/>
  <c r="AW31" i="2" a="1"/>
  <c r="O34" i="2" a="1"/>
  <c r="AO37" i="2" a="1"/>
  <c r="BH31" i="2" a="1"/>
  <c r="K25" i="2" a="1"/>
  <c r="AA28" i="3" a="1"/>
  <c r="AJ25" i="2" a="1"/>
  <c r="AC25" i="2" a="1"/>
  <c r="N31" i="2" a="1"/>
  <c r="Q37" i="2" a="1"/>
  <c r="G28" i="3" a="1"/>
  <c r="AH31" i="2" a="1"/>
  <c r="J25" i="2" a="1"/>
  <c r="Z31" i="2" a="1"/>
  <c r="X28" i="3" a="1"/>
  <c r="AB25" i="2" a="1"/>
  <c r="BJ28" i="2" a="1"/>
  <c r="BE37" i="2" a="1"/>
  <c r="BB31" i="2" a="1"/>
  <c r="AV34" i="2" a="1"/>
  <c r="T25" i="2" a="1"/>
  <c r="AL25" i="2" a="1"/>
  <c r="W31" i="2" a="1"/>
  <c r="AD37" i="2" a="1"/>
  <c r="BJ34" i="2" a="1"/>
  <c r="AL28" i="3" a="1"/>
  <c r="BJ31" i="2" a="1"/>
  <c r="AZ28" i="3" a="1"/>
  <c r="AJ31" i="2" a="1"/>
  <c r="AA25" i="2" a="1"/>
  <c r="BT37" i="2" a="1"/>
  <c r="K28" i="3" a="1"/>
  <c r="BK25" i="2" a="1"/>
  <c r="N34" i="2" a="1"/>
  <c r="BT34" i="2" a="1"/>
  <c r="X31" i="2" a="1"/>
  <c r="AY28" i="3" a="1"/>
  <c r="BC37" i="2" a="1"/>
  <c r="R34" i="2" a="1"/>
  <c r="L37" i="2" a="1"/>
  <c r="AV31" i="2" a="1"/>
  <c r="AG31" i="2" a="1"/>
  <c r="BN31" i="2" a="1"/>
  <c r="BF37" i="2" a="1"/>
  <c r="BG25" i="2" a="1"/>
  <c r="AB31" i="2" a="1"/>
  <c r="T34" i="2" a="1"/>
  <c r="AN34" i="2" a="1"/>
  <c r="AZ31" i="2" a="1"/>
  <c r="BA31" i="2" a="1"/>
  <c r="AF31" i="2" a="1"/>
  <c r="AX28" i="2" a="1"/>
  <c r="X28" i="2" a="1"/>
  <c r="AH34" i="2" a="1"/>
  <c r="E28" i="3" a="1"/>
  <c r="S25" i="2" a="1"/>
  <c r="AT31" i="2" a="1"/>
  <c r="AW25" i="2" a="1"/>
  <c r="V28" i="3" a="1"/>
  <c r="BC28" i="3" a="1"/>
  <c r="AG28" i="3" a="1"/>
  <c r="AD31" i="2" a="1"/>
  <c r="I25" i="2" a="1"/>
  <c r="AL37" i="2" a="1"/>
  <c r="W25" i="2" a="1"/>
  <c r="H37" i="2" a="1"/>
  <c r="BI28" i="3" a="1"/>
  <c r="AA37" i="2" a="1"/>
  <c r="AS34" i="2" a="1"/>
  <c r="R28" i="2" a="1"/>
  <c r="BH28" i="3" a="1"/>
  <c r="AB28" i="2" a="1"/>
  <c r="S28" i="2" a="1"/>
  <c r="BB28" i="2" a="1"/>
  <c r="AP28" i="3" a="1"/>
  <c r="AW28" i="2" a="1"/>
  <c r="AF25" i="2" a="1"/>
  <c r="AL28" i="2" a="1"/>
  <c r="C28" i="3" a="1"/>
  <c r="K37" i="2" a="1"/>
  <c r="BC28" i="2" a="1"/>
  <c r="BD31" i="2" a="1"/>
  <c r="AE34" i="2" a="1"/>
  <c r="M31" i="2" a="1"/>
  <c r="BG37" i="2" a="1"/>
  <c r="BR28" i="2" a="1"/>
  <c r="AF28" i="3" a="1"/>
  <c r="AJ37" i="2" a="1"/>
  <c r="BA37" i="2" a="1"/>
  <c r="AW37" i="2" a="1"/>
  <c r="Q28" i="3" a="1"/>
  <c r="BK31" i="2" a="1"/>
  <c r="AG28" i="2" a="1"/>
  <c r="BF25" i="2" a="1"/>
  <c r="F28" i="3" a="1"/>
  <c r="H28" i="2" a="1"/>
  <c r="BO28" i="3" a="1"/>
  <c r="BJ25" i="2" a="1"/>
  <c r="BN28" i="3" a="1"/>
  <c r="AP34" i="2" a="1"/>
  <c r="BP28" i="2" a="1"/>
  <c r="BN34" i="2" a="1"/>
  <c r="BH37" i="2" a="1"/>
  <c r="G37" i="2" a="1"/>
  <c r="H25" i="2" a="1"/>
  <c r="AN28" i="3" a="1"/>
  <c r="AD28" i="2" a="1"/>
  <c r="AV25" i="2" a="1"/>
  <c r="BP28" i="3" a="1"/>
  <c r="R25" i="2" a="1"/>
  <c r="AK31" i="2" a="1"/>
  <c r="V34" i="2" a="1"/>
  <c r="BQ34" i="2" a="1"/>
  <c r="P31" i="2" a="1"/>
  <c r="BB28" i="3" a="1"/>
  <c r="AI28" i="2" a="1"/>
  <c r="AM37" i="2" a="1"/>
  <c r="BG34" i="2" a="1"/>
  <c r="BI25" i="2" a="1"/>
  <c r="Y34" i="2" a="1"/>
  <c r="BS37" i="2" a="1"/>
  <c r="AR34" i="2" a="1"/>
  <c r="AM25" i="2" a="1"/>
  <c r="H31" i="2" a="1"/>
  <c r="BQ31" i="2" a="1"/>
  <c r="AU37" i="2" a="1"/>
  <c r="BA25" i="2" a="1"/>
  <c r="BN37" i="2" a="1"/>
  <c r="X34" i="2" a="1"/>
  <c r="BB34" i="2" a="1"/>
  <c r="AC37" i="2" a="1"/>
  <c r="BA28" i="2" a="1"/>
  <c r="R31" i="2" a="1"/>
  <c r="AL31" i="2" a="1"/>
  <c r="BI31" i="2" a="1"/>
  <c r="BM34" i="2" a="1"/>
  <c r="AT25" i="2" a="1"/>
  <c r="BE28" i="3" a="1"/>
  <c r="AM28" i="3" a="1"/>
  <c r="P28" i="2" a="1"/>
  <c r="BM28" i="2" a="1"/>
  <c r="H28" i="3" a="1"/>
  <c r="AU34" i="2" a="1"/>
  <c r="AO31" i="2" a="1"/>
  <c r="O28" i="2" a="1"/>
  <c r="BO25" i="2" a="1"/>
  <c r="Q25" i="2" a="1"/>
  <c r="BG28" i="3" a="1"/>
  <c r="BR37" i="2" a="1"/>
  <c r="BA34" i="2" a="1"/>
  <c r="AA28" i="2" a="1"/>
  <c r="Z28" i="2" a="1"/>
  <c r="BK34" i="2" a="1"/>
  <c r="AE25" i="2" a="1"/>
  <c r="AF37" i="2" a="1"/>
  <c r="BL37" i="2" a="1"/>
  <c r="BL28" i="3" a="1"/>
  <c r="B36" i="6" l="1"/>
  <c r="AM37" i="2"/>
  <c r="BL37" i="2"/>
  <c r="AV37" i="2"/>
  <c r="BF37" i="2"/>
  <c r="AT37" i="2"/>
  <c r="V37" i="2"/>
  <c r="BA37" i="2"/>
  <c r="AC37" i="2"/>
  <c r="AN37" i="2"/>
  <c r="X37" i="2"/>
  <c r="BG37" i="2"/>
  <c r="BI37" i="2"/>
  <c r="AW37" i="2"/>
  <c r="BN37" i="2"/>
  <c r="M37" i="2"/>
  <c r="AY37" i="2"/>
  <c r="AH37" i="2"/>
  <c r="Q37" i="2"/>
  <c r="O37" i="2"/>
  <c r="AX37" i="2"/>
  <c r="R37" i="2"/>
  <c r="AO37" i="2"/>
  <c r="AB37" i="2"/>
  <c r="AK37" i="2"/>
  <c r="BE37" i="2"/>
  <c r="J37" i="2"/>
  <c r="AA37" i="2"/>
  <c r="BS37" i="2"/>
  <c r="AL37" i="2"/>
  <c r="AU37" i="2"/>
  <c r="BH37" i="2"/>
  <c r="AJ37" i="2"/>
  <c r="AI37" i="2"/>
  <c r="BP37" i="2"/>
  <c r="T37" i="2"/>
  <c r="AZ37" i="2"/>
  <c r="BR37" i="2"/>
  <c r="BO37" i="2"/>
  <c r="U37" i="2"/>
  <c r="S37" i="2"/>
  <c r="AP37" i="2"/>
  <c r="BB37" i="2"/>
  <c r="Y37" i="2"/>
  <c r="BT37" i="2"/>
  <c r="BK37" i="2"/>
  <c r="W37" i="2"/>
  <c r="AQ37" i="2"/>
  <c r="N37" i="2"/>
  <c r="BC37" i="2"/>
  <c r="AS37" i="2"/>
  <c r="BD37" i="2"/>
  <c r="K37" i="2"/>
  <c r="AR37" i="2"/>
  <c r="H37" i="2"/>
  <c r="Z37" i="2"/>
  <c r="L37" i="2"/>
  <c r="AD37" i="2"/>
  <c r="P37" i="2"/>
  <c r="BJ37" i="2"/>
  <c r="BM37" i="2"/>
  <c r="BQ37" i="2"/>
  <c r="AG37" i="2"/>
  <c r="AE37" i="2"/>
  <c r="I37" i="2"/>
  <c r="AF37" i="2"/>
  <c r="BI34" i="2"/>
  <c r="BP34" i="2"/>
  <c r="BD34" i="2"/>
  <c r="R34" i="2"/>
  <c r="AQ34" i="2"/>
  <c r="T34" i="2"/>
  <c r="Y34" i="2"/>
  <c r="BM34" i="2"/>
  <c r="AN34" i="2"/>
  <c r="AL34" i="2"/>
  <c r="AW34" i="2"/>
  <c r="AU34" i="2"/>
  <c r="AJ34" i="2"/>
  <c r="AI34" i="2"/>
  <c r="W34" i="2"/>
  <c r="K34" i="2"/>
  <c r="BN34" i="2"/>
  <c r="AO34" i="2"/>
  <c r="M34" i="2"/>
  <c r="AB34" i="2"/>
  <c r="BR34" i="2"/>
  <c r="Z34" i="2"/>
  <c r="BF34" i="2"/>
  <c r="AK34" i="2"/>
  <c r="L34" i="2"/>
  <c r="BE34" i="2"/>
  <c r="AD34" i="2"/>
  <c r="V34" i="2"/>
  <c r="U34" i="2"/>
  <c r="P34" i="2"/>
  <c r="J34" i="2"/>
  <c r="BC34" i="2"/>
  <c r="AC34" i="2"/>
  <c r="X34" i="2"/>
  <c r="BK34" i="2"/>
  <c r="AS34" i="2"/>
  <c r="AR34" i="2"/>
  <c r="I34" i="2"/>
  <c r="AT34" i="2"/>
  <c r="BO34" i="2"/>
  <c r="AA34" i="2"/>
  <c r="BT34" i="2"/>
  <c r="Q34" i="2"/>
  <c r="O34" i="2"/>
  <c r="BS34" i="2"/>
  <c r="AX34" i="2"/>
  <c r="BG34" i="2"/>
  <c r="BH34" i="2"/>
  <c r="BQ34" i="2"/>
  <c r="AG34" i="2"/>
  <c r="AE34" i="2"/>
  <c r="AF34" i="2"/>
  <c r="AZ34" i="2"/>
  <c r="H34" i="2"/>
  <c r="AM34" i="2"/>
  <c r="N34" i="2"/>
  <c r="BL34" i="2"/>
  <c r="AV34" i="2"/>
  <c r="AY34" i="2"/>
  <c r="AH34" i="2"/>
  <c r="S34" i="2"/>
  <c r="AP34" i="2"/>
  <c r="BJ34" i="2"/>
  <c r="BB34" i="2"/>
  <c r="BA34" i="2"/>
  <c r="BK31" i="2"/>
  <c r="W31" i="2"/>
  <c r="I31" i="2"/>
  <c r="T31" i="2"/>
  <c r="AN31" i="2"/>
  <c r="AL31" i="2"/>
  <c r="AW31" i="2"/>
  <c r="AI31" i="2"/>
  <c r="BQ31" i="2"/>
  <c r="BD31" i="2"/>
  <c r="AG31" i="2"/>
  <c r="AF31" i="2"/>
  <c r="H31" i="2"/>
  <c r="BL31" i="2"/>
  <c r="M31" i="2"/>
  <c r="AK31" i="2"/>
  <c r="BE31" i="2"/>
  <c r="P31" i="2"/>
  <c r="J31" i="2"/>
  <c r="BC31" i="2"/>
  <c r="BM31" i="2"/>
  <c r="AC31" i="2"/>
  <c r="BT31" i="2"/>
  <c r="Q31" i="2"/>
  <c r="X31" i="2"/>
  <c r="O31" i="2"/>
  <c r="BS31" i="2"/>
  <c r="BG31" i="2"/>
  <c r="BI31" i="2"/>
  <c r="BH31" i="2"/>
  <c r="AE31" i="2"/>
  <c r="R31" i="2"/>
  <c r="AO31" i="2"/>
  <c r="N31" i="2"/>
  <c r="AY31" i="2"/>
  <c r="BR31" i="2"/>
  <c r="Z31" i="2"/>
  <c r="BF31" i="2"/>
  <c r="L31" i="2"/>
  <c r="BO31" i="2"/>
  <c r="AA31" i="2"/>
  <c r="S31" i="2"/>
  <c r="AP31" i="2"/>
  <c r="Y31" i="2"/>
  <c r="AX31" i="2"/>
  <c r="AU31" i="2"/>
  <c r="AJ31" i="2"/>
  <c r="BP31" i="2"/>
  <c r="AS31" i="2"/>
  <c r="K31" i="2"/>
  <c r="AR31" i="2"/>
  <c r="AQ31" i="2"/>
  <c r="AZ31" i="2"/>
  <c r="BN31" i="2"/>
  <c r="AM31" i="2"/>
  <c r="AB31" i="2"/>
  <c r="AV31" i="2"/>
  <c r="AT31" i="2"/>
  <c r="AH31" i="2"/>
  <c r="AD31" i="2"/>
  <c r="V31" i="2"/>
  <c r="U31" i="2"/>
  <c r="BJ31" i="2"/>
  <c r="BB31" i="2"/>
  <c r="BA31" i="2"/>
  <c r="X28" i="2"/>
  <c r="BK28" i="2"/>
  <c r="O28" i="2"/>
  <c r="BS28" i="2"/>
  <c r="BG28" i="2"/>
  <c r="AU28" i="2"/>
  <c r="AS28" i="2"/>
  <c r="AG28" i="2"/>
  <c r="AQ28" i="2"/>
  <c r="Y28" i="2"/>
  <c r="AC28" i="2"/>
  <c r="AN28" i="2"/>
  <c r="AX28" i="2"/>
  <c r="AW28" i="2"/>
  <c r="BH28" i="2"/>
  <c r="AJ28" i="2"/>
  <c r="W28" i="2"/>
  <c r="AF28" i="2"/>
  <c r="AZ28" i="2"/>
  <c r="BN28" i="2"/>
  <c r="H28" i="2"/>
  <c r="AO28" i="2"/>
  <c r="AK28" i="2"/>
  <c r="P28" i="2"/>
  <c r="J28" i="2"/>
  <c r="BC28" i="2"/>
  <c r="BM28" i="2"/>
  <c r="BT28" i="2"/>
  <c r="AI28" i="2"/>
  <c r="BQ28" i="2"/>
  <c r="BD28" i="2"/>
  <c r="K28" i="2"/>
  <c r="AR28" i="2"/>
  <c r="AE28" i="2"/>
  <c r="R28" i="2"/>
  <c r="AM28" i="2"/>
  <c r="N28" i="2"/>
  <c r="BL28" i="2"/>
  <c r="M28" i="2"/>
  <c r="AB28" i="2"/>
  <c r="AV28" i="2"/>
  <c r="BR28" i="2"/>
  <c r="BF28" i="2"/>
  <c r="L28" i="2"/>
  <c r="BO28" i="2"/>
  <c r="AH28" i="2"/>
  <c r="BE28" i="2"/>
  <c r="AD28" i="2"/>
  <c r="AA28" i="2"/>
  <c r="S28" i="2"/>
  <c r="AP28" i="2"/>
  <c r="Q28" i="2"/>
  <c r="AL28" i="2"/>
  <c r="BI28" i="2"/>
  <c r="BP28" i="2"/>
  <c r="I28" i="2"/>
  <c r="T28" i="2"/>
  <c r="AY28" i="2"/>
  <c r="Z28" i="2"/>
  <c r="AT28" i="2"/>
  <c r="V28" i="2"/>
  <c r="U28" i="2"/>
  <c r="BJ28" i="2"/>
  <c r="BB28" i="2"/>
  <c r="BA28" i="2"/>
  <c r="G37" i="2"/>
  <c r="G34" i="2"/>
  <c r="G31" i="2"/>
  <c r="G28" i="2"/>
  <c r="Z28" i="3"/>
  <c r="X28" i="3"/>
  <c r="AA28" i="3"/>
  <c r="M28" i="3"/>
  <c r="BF28" i="3"/>
  <c r="BK28" i="3"/>
  <c r="AX28" i="3"/>
  <c r="BI28" i="3"/>
  <c r="Y28" i="3"/>
  <c r="AH28" i="3"/>
  <c r="I28" i="3"/>
  <c r="BD28" i="3"/>
  <c r="T28" i="3"/>
  <c r="AQ28" i="3"/>
  <c r="S28" i="3"/>
  <c r="G28" i="3"/>
  <c r="AM28" i="3"/>
  <c r="N28" i="3"/>
  <c r="AJ28" i="3"/>
  <c r="K28" i="3"/>
  <c r="AG28" i="3"/>
  <c r="AE28" i="3"/>
  <c r="AY28" i="3"/>
  <c r="BH28" i="3"/>
  <c r="L28" i="3"/>
  <c r="AU28" i="3"/>
  <c r="AT28" i="3"/>
  <c r="F28" i="3"/>
  <c r="AS28" i="3"/>
  <c r="BG28" i="3"/>
  <c r="AI28" i="3"/>
  <c r="J28" i="3"/>
  <c r="BE28" i="3"/>
  <c r="AR28" i="3"/>
  <c r="BO28" i="3"/>
  <c r="E28" i="3"/>
  <c r="BJ28" i="3"/>
  <c r="AW28" i="3"/>
  <c r="W28" i="3"/>
  <c r="AC28" i="3"/>
  <c r="O28" i="3"/>
  <c r="AL28" i="3"/>
  <c r="AK28" i="3"/>
  <c r="AV28" i="3"/>
  <c r="V28" i="3"/>
  <c r="U28" i="3"/>
  <c r="BP28" i="3"/>
  <c r="AF28" i="3"/>
  <c r="H28" i="3"/>
  <c r="BC28" i="3"/>
  <c r="BN28" i="3"/>
  <c r="BB28" i="3"/>
  <c r="AP28" i="3"/>
  <c r="AD28" i="3"/>
  <c r="R28" i="3"/>
  <c r="BM28" i="3"/>
  <c r="BA28" i="3"/>
  <c r="AO28" i="3"/>
  <c r="Q28" i="3"/>
  <c r="BL28" i="3"/>
  <c r="AZ28" i="3"/>
  <c r="AN28" i="3"/>
  <c r="AB28" i="3"/>
  <c r="P28" i="3"/>
  <c r="D28" i="3"/>
  <c r="C28" i="3"/>
  <c r="T25" i="2"/>
  <c r="R25" i="2"/>
  <c r="K25" i="2"/>
  <c r="AE25" i="2"/>
  <c r="AF25" i="2"/>
  <c r="AQ25" i="2"/>
  <c r="AZ25" i="2"/>
  <c r="AV25" i="2"/>
  <c r="BR25" i="2"/>
  <c r="Z25" i="2"/>
  <c r="BJ25" i="2"/>
  <c r="BM25" i="2"/>
  <c r="X25" i="2"/>
  <c r="BK25" i="2"/>
  <c r="O25" i="2"/>
  <c r="AG25" i="2"/>
  <c r="BN25" i="2"/>
  <c r="Y25" i="2"/>
  <c r="AC25" i="2"/>
  <c r="AX25" i="2"/>
  <c r="AM25" i="2"/>
  <c r="BL25" i="2"/>
  <c r="BO25" i="2"/>
  <c r="BA25" i="2"/>
  <c r="BG25" i="2"/>
  <c r="BI25" i="2"/>
  <c r="AW25" i="2"/>
  <c r="N25" i="2"/>
  <c r="M25" i="2"/>
  <c r="AB25" i="2"/>
  <c r="AY25" i="2"/>
  <c r="L25" i="2"/>
  <c r="BE25" i="2"/>
  <c r="P25" i="2"/>
  <c r="BC25" i="2"/>
  <c r="S25" i="2"/>
  <c r="BS25" i="2"/>
  <c r="AL25" i="2"/>
  <c r="AR25" i="2"/>
  <c r="I25" i="2"/>
  <c r="H25" i="2"/>
  <c r="AO25" i="2"/>
  <c r="BF25" i="2"/>
  <c r="AK25" i="2"/>
  <c r="AT25" i="2"/>
  <c r="AH25" i="2"/>
  <c r="AD25" i="2"/>
  <c r="V25" i="2"/>
  <c r="U25" i="2"/>
  <c r="J25" i="2"/>
  <c r="AA25" i="2"/>
  <c r="AP25" i="2"/>
  <c r="BB25" i="2"/>
  <c r="BT25" i="2"/>
  <c r="Q25" i="2"/>
  <c r="AN25" i="2"/>
  <c r="AU25" i="2"/>
  <c r="BH25" i="2"/>
  <c r="AJ25" i="2"/>
  <c r="AI25" i="2"/>
  <c r="BQ25" i="2"/>
  <c r="BP25" i="2"/>
  <c r="W25" i="2"/>
  <c r="AS25" i="2"/>
  <c r="BD25" i="2"/>
  <c r="G25" i="2"/>
  <c r="B58" i="6"/>
  <c r="B57" i="6"/>
  <c r="B55" i="6"/>
  <c r="B53" i="6"/>
  <c r="B52" i="6"/>
  <c r="C52" i="6"/>
  <c r="C55" i="6"/>
  <c r="C57" i="6"/>
  <c r="C36" i="6"/>
  <c r="C53" i="6" s="1"/>
  <c r="C15" i="6"/>
  <c r="C47" i="6" s="1"/>
  <c r="B47" i="6"/>
  <c r="AB40" i="2" a="1"/>
  <c r="BC40" i="2" a="1"/>
  <c r="P40" i="2" a="1"/>
  <c r="X40" i="2" a="1"/>
  <c r="BK40" i="2" a="1"/>
  <c r="AG40" i="2" a="1"/>
  <c r="BN40" i="2" a="1"/>
  <c r="Y40" i="2" a="1"/>
  <c r="BF40" i="2" a="1"/>
  <c r="V40" i="2" a="1"/>
  <c r="I40" i="2" a="1"/>
  <c r="AE40" i="2" a="1"/>
  <c r="M40" i="2" a="1"/>
  <c r="AQ40" i="2" a="1"/>
  <c r="BQ40" i="2" a="1"/>
  <c r="BP40" i="2" a="1"/>
  <c r="BD40" i="2" a="1"/>
  <c r="G40" i="2" a="1"/>
  <c r="AN40" i="2" a="1"/>
  <c r="AD40" i="2" a="1"/>
  <c r="R40" i="2" a="1"/>
  <c r="K40" i="2" a="1"/>
  <c r="AO40" i="2" a="1"/>
  <c r="AV40" i="2" a="1"/>
  <c r="BR40" i="2" a="1"/>
  <c r="G35" i="3" a="1"/>
  <c r="AI40" i="2" a="1"/>
  <c r="AL40" i="2" a="1"/>
  <c r="W40" i="2" a="1"/>
  <c r="S40" i="2" a="1"/>
  <c r="AX40" i="2" a="1"/>
  <c r="AM40" i="2" a="1"/>
  <c r="U40" i="2" a="1"/>
  <c r="N40" i="2" a="1"/>
  <c r="AF40" i="2" a="1"/>
  <c r="BT40" i="2" a="1"/>
  <c r="O40" i="2" a="1"/>
  <c r="AS40" i="2" a="1"/>
  <c r="AZ40" i="2" a="1"/>
  <c r="BL40" i="2" a="1"/>
  <c r="AJ40" i="2" a="1"/>
  <c r="J40" i="2" a="1"/>
  <c r="AA40" i="2" a="1"/>
  <c r="AY40" i="2" a="1"/>
  <c r="AU40" i="2" a="1"/>
  <c r="Z40" i="2" a="1"/>
  <c r="BM40" i="2" a="1"/>
  <c r="L40" i="2" a="1"/>
  <c r="AR40" i="2" a="1"/>
  <c r="BE40" i="2" a="1"/>
  <c r="AC40" i="2" a="1"/>
  <c r="AK40" i="2" a="1"/>
  <c r="Q40" i="2" a="1"/>
  <c r="T40" i="2" a="1"/>
  <c r="BI40" i="2" a="1"/>
  <c r="BS40" i="2" a="1"/>
  <c r="BH40" i="2" a="1"/>
  <c r="AT40" i="2" a="1"/>
  <c r="AH40" i="2" a="1"/>
  <c r="BJ40" i="2" a="1"/>
  <c r="BO40" i="2" a="1"/>
  <c r="BA40" i="2" a="1"/>
  <c r="BG40" i="2" a="1"/>
  <c r="H40" i="2" a="1"/>
  <c r="AW40" i="2" a="1"/>
  <c r="AP40" i="2" a="1"/>
  <c r="BB40" i="2" a="1"/>
  <c r="AQ40" i="2" l="1"/>
  <c r="AW40" i="2"/>
  <c r="BI40" i="2"/>
  <c r="AK40" i="2"/>
  <c r="BF40" i="2"/>
  <c r="AG40" i="2"/>
  <c r="BP40" i="2"/>
  <c r="AB40" i="2"/>
  <c r="M40" i="2"/>
  <c r="BG40" i="2"/>
  <c r="AD40" i="2"/>
  <c r="BD40" i="2"/>
  <c r="H40" i="2"/>
  <c r="W40" i="2"/>
  <c r="BK40" i="2"/>
  <c r="X40" i="2"/>
  <c r="S40" i="2"/>
  <c r="AJ40" i="2"/>
  <c r="AP40" i="2"/>
  <c r="N40" i="2"/>
  <c r="AE40" i="2"/>
  <c r="AA40" i="2"/>
  <c r="J40" i="2"/>
  <c r="R40" i="2"/>
  <c r="U40" i="2"/>
  <c r="BA40" i="2"/>
  <c r="BO40" i="2"/>
  <c r="BL40" i="2"/>
  <c r="AT40" i="2"/>
  <c r="AO40" i="2"/>
  <c r="BN40" i="2"/>
  <c r="AS40" i="2"/>
  <c r="AR40" i="2"/>
  <c r="AL40" i="2"/>
  <c r="BS40" i="2"/>
  <c r="AI40" i="2"/>
  <c r="BM40" i="2"/>
  <c r="BJ40" i="2"/>
  <c r="BH40" i="2"/>
  <c r="P40" i="2"/>
  <c r="Z40" i="2"/>
  <c r="AU40" i="2"/>
  <c r="BE40" i="2"/>
  <c r="BR40" i="2"/>
  <c r="AN40" i="2"/>
  <c r="L40" i="2"/>
  <c r="AV40" i="2"/>
  <c r="BT40" i="2"/>
  <c r="BB40" i="2"/>
  <c r="AF40" i="2"/>
  <c r="K40" i="2"/>
  <c r="T40" i="2"/>
  <c r="V40" i="2"/>
  <c r="AH40" i="2"/>
  <c r="AM40" i="2"/>
  <c r="AX40" i="2"/>
  <c r="AC40" i="2"/>
  <c r="Y40" i="2"/>
  <c r="I40" i="2"/>
  <c r="O40" i="2"/>
  <c r="BQ40" i="2"/>
  <c r="BC40" i="2"/>
  <c r="Q40" i="2"/>
  <c r="AY40" i="2"/>
  <c r="AZ40" i="2"/>
  <c r="G40" i="2"/>
  <c r="G35"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<sst xmlns="http://schemas.openxmlformats.org/spreadsheetml/2006/main" count="275" uniqueCount="179">
  <si>
    <t>This function is only available in the full version of the add-in</t>
  </si>
  <si>
    <t>Index</t>
  </si>
  <si>
    <t>Example</t>
  </si>
  <si>
    <t>Inputs</t>
  </si>
  <si>
    <t>Underlying_type</t>
  </si>
  <si>
    <t>S</t>
  </si>
  <si>
    <t>Market_strikes</t>
  </si>
  <si>
    <t>Market_vols</t>
  </si>
  <si>
    <t>Underlying_price</t>
  </si>
  <si>
    <t>Days</t>
  </si>
  <si>
    <t>Volatility_ATM</t>
  </si>
  <si>
    <t>Risk_free_rate</t>
  </si>
  <si>
    <t>Beta</t>
  </si>
  <si>
    <t>Optional argument</t>
  </si>
  <si>
    <t>Dividend_yield</t>
  </si>
  <si>
    <t>Results From Calibration</t>
  </si>
  <si>
    <t xml:space="preserve">Sum of </t>
  </si>
  <si>
    <t>Squared</t>
  </si>
  <si>
    <t>VolVol</t>
  </si>
  <si>
    <t>Correlation</t>
  </si>
  <si>
    <t>Iterations</t>
  </si>
  <si>
    <t>Differences</t>
  </si>
  <si>
    <t>Option Type</t>
  </si>
  <si>
    <t>Call</t>
  </si>
  <si>
    <t>Market Inputs</t>
  </si>
  <si>
    <t>SABR vs Black-Scholes</t>
  </si>
  <si>
    <t xml:space="preserve">Implied </t>
  </si>
  <si>
    <t>SABR</t>
  </si>
  <si>
    <t>Actual Mkt</t>
  </si>
  <si>
    <t>Black-76</t>
  </si>
  <si>
    <t>Strike</t>
  </si>
  <si>
    <t>Volatility</t>
  </si>
  <si>
    <t>Black Vol</t>
  </si>
  <si>
    <t>Option Price</t>
  </si>
  <si>
    <t>Delta</t>
  </si>
  <si>
    <t>Put</t>
  </si>
  <si>
    <t>Calculation_type</t>
  </si>
  <si>
    <t>Option_type</t>
  </si>
  <si>
    <t>C</t>
  </si>
  <si>
    <t>F</t>
  </si>
  <si>
    <t>Results</t>
  </si>
  <si>
    <t>Calc Type</t>
  </si>
  <si>
    <t>Results by Strike</t>
  </si>
  <si>
    <t>Black-76 equivalent volatility</t>
  </si>
  <si>
    <t>Option value</t>
  </si>
  <si>
    <t>P</t>
  </si>
  <si>
    <t>Value using SABR</t>
  </si>
  <si>
    <t>Value using HoadleyOptions2 &amp; Black-76 Volatility</t>
  </si>
  <si>
    <t>D</t>
  </si>
  <si>
    <t>Delta using SABR</t>
  </si>
  <si>
    <t>Delta  using HoadleyOptions2 &amp; Black-76 Volatility</t>
  </si>
  <si>
    <t>Gamma</t>
  </si>
  <si>
    <t>G</t>
  </si>
  <si>
    <t>Gamma using SABR</t>
  </si>
  <si>
    <t>Gamma using HoadleyOptions2 &amp; Black-76 Volatility</t>
  </si>
  <si>
    <t>Vega</t>
  </si>
  <si>
    <t>V</t>
  </si>
  <si>
    <t>Vega using SABR</t>
  </si>
  <si>
    <t>Vega using HoadleyOptions2 &amp; Black-76 Volatility</t>
  </si>
  <si>
    <t>Theta</t>
  </si>
  <si>
    <t>T</t>
  </si>
  <si>
    <t>Theta using SABR</t>
  </si>
  <si>
    <t>Theta using HoadleyOptions2 &amp; Black-76 Volatility</t>
  </si>
  <si>
    <t>Rho (Futures option)</t>
  </si>
  <si>
    <t>R</t>
  </si>
  <si>
    <t>Rho using SABR</t>
  </si>
  <si>
    <t>Rho using HoadleyOptions2 &amp; Black-76 Volatility</t>
  </si>
  <si>
    <t>http://www.hoadley.net/options</t>
  </si>
  <si>
    <t>HoadleySABRBlackVol</t>
  </si>
  <si>
    <t>Results 1:  Calculation of volatility smile using Black-76 equivalent volatility</t>
  </si>
  <si>
    <t>Gap between strike prices:</t>
  </si>
  <si>
    <t>Strike prices</t>
  </si>
  <si>
    <t>Forward price:</t>
  </si>
  <si>
    <t>Results 2: Using HoadleySABRCalibrate to recover VolVol and correlation</t>
  </si>
  <si>
    <t>Correl-</t>
  </si>
  <si>
    <t>Iter-</t>
  </si>
  <si>
    <t>VolVol and correlation equal the VolVol and correlation used to</t>
  </si>
  <si>
    <t>ation</t>
  </si>
  <si>
    <t>ations</t>
  </si>
  <si>
    <t>Sum</t>
  </si>
  <si>
    <t>calculate the Black-76 equivalent volatility in "Results 1"</t>
  </si>
  <si>
    <t>N</t>
  </si>
  <si>
    <t>consistency of the futures and options functions.</t>
  </si>
  <si>
    <t>same time as the futures contract. This example proves the</t>
  </si>
  <si>
    <t>exactly the same as a spot option if the option matures at the</t>
  </si>
  <si>
    <t>This example shows that a European futures option is worth</t>
  </si>
  <si>
    <t>Futures option (uses futures price):</t>
  </si>
  <si>
    <t>Spot option (uses spot price):</t>
  </si>
  <si>
    <t>Call/Put</t>
  </si>
  <si>
    <t>Price volatility</t>
  </si>
  <si>
    <t>Strike:</t>
  </si>
  <si>
    <t>Option details</t>
  </si>
  <si>
    <t>Results - 2</t>
  </si>
  <si>
    <t>IR</t>
  </si>
  <si>
    <t>Implied risk free rate</t>
  </si>
  <si>
    <t>Futures price</t>
  </si>
  <si>
    <t xml:space="preserve">Results -1 </t>
  </si>
  <si>
    <t>Futures_price</t>
  </si>
  <si>
    <t>Income payment 2</t>
  </si>
  <si>
    <t>Income payment 1 (eg coupon)</t>
  </si>
  <si>
    <t>Date</t>
  </si>
  <si>
    <t>Amt</t>
  </si>
  <si>
    <t>Income_details:</t>
  </si>
  <si>
    <t>Income_type</t>
  </si>
  <si>
    <t>Optional arguments:</t>
  </si>
  <si>
    <t>Spot</t>
  </si>
  <si>
    <t>Maturity_date</t>
  </si>
  <si>
    <t>Value_date</t>
  </si>
  <si>
    <t>Calc_type</t>
  </si>
  <si>
    <t>HoadleyFuturesPrice</t>
  </si>
  <si>
    <t>HoadleyOptionsNLN</t>
  </si>
  <si>
    <t xml:space="preserve">Returns an European or American option price based on a Non LogNormal underlying price </t>
  </si>
  <si>
    <t>distribution.  Uses Rubinstein implied binomial trees to account for skewness &amp; kurtosis.</t>
  </si>
  <si>
    <t>Pricing_model (European or American)</t>
  </si>
  <si>
    <t>Dividend_type (optional)</t>
  </si>
  <si>
    <t>Dividends (optional)</t>
  </si>
  <si>
    <t>Days_to_ex_dates (optional)</t>
  </si>
  <si>
    <t>Skewness (0ptional)</t>
  </si>
  <si>
    <t>Kurtosis (optional)</t>
  </si>
  <si>
    <t>Binomial_steps (optional)</t>
  </si>
  <si>
    <t>Results - Calculation of volatility smile</t>
  </si>
  <si>
    <t>Non-log normal price</t>
  </si>
  <si>
    <t>Log normal option price</t>
  </si>
  <si>
    <t>Implied volatility</t>
  </si>
  <si>
    <t>"True" volatility:</t>
  </si>
  <si>
    <t>`</t>
  </si>
  <si>
    <t>Days-to-Expiry</t>
  </si>
  <si>
    <t>T = days-to-expiry/365</t>
  </si>
  <si>
    <t>Time-Normalized Vol = v*sqrt(T)</t>
  </si>
  <si>
    <t>-Log Moneyness = LN(S/K)</t>
  </si>
  <si>
    <t>Forward Multiplier = e^(T*(r-d))</t>
  </si>
  <si>
    <t>SS in Exponential Measure = d1</t>
  </si>
  <si>
    <t>SS in Risk-Neutral Measure = d2</t>
  </si>
  <si>
    <t>Gaussian CDF at d1 = N(d1)</t>
  </si>
  <si>
    <t>Gaussian CDF at d2 = N(d2)</t>
  </si>
  <si>
    <t>Gaussian at d1 = N'(d1)</t>
  </si>
  <si>
    <t>Gaussian at d2 = N'(d2)</t>
  </si>
  <si>
    <t>Vanna</t>
  </si>
  <si>
    <t>Vomma/Volga</t>
  </si>
  <si>
    <t>Color</t>
  </si>
  <si>
    <t>Speed</t>
  </si>
  <si>
    <t>Charm</t>
  </si>
  <si>
    <t>Zomma</t>
  </si>
  <si>
    <t>Dual-Delta</t>
  </si>
  <si>
    <t>Value Date</t>
  </si>
  <si>
    <t>Expiry Date</t>
  </si>
  <si>
    <t>Underlying Price = S</t>
  </si>
  <si>
    <t>Strike Price = K</t>
  </si>
  <si>
    <t>Risk-Free Rate = r</t>
  </si>
  <si>
    <t>Dividend Rate = d</t>
  </si>
  <si>
    <t>Annualized Volatility = v</t>
  </si>
  <si>
    <t>Forward Price</t>
  </si>
  <si>
    <t>NPV Strike</t>
  </si>
  <si>
    <t xml:space="preserve">   CALLS</t>
  </si>
  <si>
    <t xml:space="preserve">    PUTS</t>
  </si>
  <si>
    <t>Fair Value</t>
  </si>
  <si>
    <t>Rho</t>
  </si>
  <si>
    <t>Correl</t>
  </si>
  <si>
    <t>SABR Vanna</t>
  </si>
  <si>
    <t>SABR Volga</t>
  </si>
  <si>
    <t>SABR Color</t>
  </si>
  <si>
    <t>SABR Speed</t>
  </si>
  <si>
    <t>SABR Charm</t>
  </si>
  <si>
    <t>SABR Zomma</t>
  </si>
  <si>
    <t>SABR Dual-Delta</t>
  </si>
  <si>
    <t xml:space="preserve">Price difference </t>
  </si>
  <si>
    <t xml:space="preserve">Delta difference </t>
  </si>
  <si>
    <t xml:space="preserve">Vega difference </t>
  </si>
  <si>
    <t xml:space="preserve">Theta difference </t>
  </si>
  <si>
    <t xml:space="preserve">Vanna difference </t>
  </si>
  <si>
    <t xml:space="preserve">Color difference </t>
  </si>
  <si>
    <t xml:space="preserve">Speed difference </t>
  </si>
  <si>
    <t xml:space="preserve">Charm difference </t>
  </si>
  <si>
    <t xml:space="preserve">Zomma difference </t>
  </si>
  <si>
    <t xml:space="preserve">Dual-Delta difference </t>
  </si>
  <si>
    <t xml:space="preserve">Volga difference </t>
  </si>
  <si>
    <t xml:space="preserve">Gamma difference </t>
  </si>
  <si>
    <t>SABR Greeks</t>
  </si>
  <si>
    <t>Traditional Greeks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</si>
</sst>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
    <numFmt numFmtId="166" formatCode="0.000"/>
    <numFmt numFmtId="167" formatCode="0.00000"/>
    <numFmt numFmtId="168" formatCode="#,##0.000"/>
    <numFmt numFmtId="169" formatCode="[$-C09]dd\-mmm\-yy;@"/>
    <numFmt numFmtId="170" formatCode="0.0"/>
    <numFmt numFmtId="171" formatCode="0.000%"/>
    <numFmt numFmtId="172" formatCode="0.0000"/>
    <numFmt numFmtId="173" formatCode="0.000000000000000%"/>
  </numFmts>
  <fonts count="17" x14ac:knownFonts="1">
    <font>
      <sz val="10"/>
      <name val="Arial"/>
      <family val="2"/>
    </font>
    <font>
      <sz val="11"/>
      <color theme="1"/>
      <name val="Calibri"/>
      <family val="2"/>
      <scheme val="minor"/>
    </font>
    <font>
      <sz val="11"/>
      <color theme="1"/>
      <name val="Calibri"/>
      <family val="2"/>
      <scheme val="minor"/>
    </font>
    <font>
      <sz val="10"/>
      <name val="Arial"/>
      <family val="2"/>
    </font>
    <font>
      <b/>
      <sz val="12"/>
      <color theme="0"/>
      <name val="Arial"/>
      <family val="2"/>
    </font>
    <font>
      <u/>
      <sz val="10"/>
      <color indexed="12"/>
      <name val="Arial"/>
      <family val="2"/>
    </font>
    <font>
      <b/>
      <sz val="10"/>
      <color indexed="9"/>
      <name val="Arial"/>
      <family val="2"/>
    </font>
    <font>
      <b/>
      <sz val="10"/>
      <color indexed="17"/>
      <name val="Arial"/>
      <family val="2"/>
    </font>
    <font>
      <b/>
      <sz val="10"/>
      <color theme="0"/>
      <name val="Arial"/>
      <family val="2"/>
    </font>
    <font>
      <sz val="10"/>
      <color theme="0"/>
      <name val="Arial"/>
      <family val="2"/>
    </font>
    <font>
      <sz val="10"/>
      <color theme="1"/>
      <name val="Arial"/>
      <family val="2"/>
    </font>
    <font>
      <b/>
      <sz val="10"/>
      <name val="Arial"/>
      <family val="2"/>
    </font>
    <font>
      <b/>
      <sz val="10"/>
      <color indexed="12"/>
      <name val="Arial"/>
      <family val="2"/>
    </font>
    <font>
      <sz val="10"/>
      <color indexed="9"/>
      <name val="Arial"/>
      <family val="2"/>
    </font>
    <font>
      <b/>
      <sz val="12"/>
      <color indexed="9"/>
      <name val="Arial"/>
      <family val="2"/>
    </font>
    <font>
      <sz val="8"/>
      <name val="Arial"/>
      <family val="2"/>
    </font>
    <font>
      <b/>
      <sz val="11"/>
      <color theme="1"/>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3"/>
        <bgColor indexed="64"/>
      </patternFill>
    </fill>
    <fill>
      <patternFill patternType="solid">
        <fgColor theme="0"/>
        <bgColor indexed="64"/>
      </patternFill>
    </fill>
    <fill>
      <patternFill patternType="solid">
        <fgColor indexed="22"/>
        <bgColor indexed="64"/>
      </patternFill>
    </fill>
    <fill>
      <patternFill patternType="solid">
        <fgColor theme="4"/>
        <bgColor indexed="64"/>
      </patternFill>
    </fill>
    <fill>
      <patternFill patternType="solid">
        <fgColor indexed="18"/>
        <bgColor indexed="64"/>
      </patternFill>
    </fill>
    <fill>
      <patternFill patternType="solid">
        <fgColor indexed="9"/>
        <bgColor indexed="64"/>
      </patternFill>
    </fill>
    <fill>
      <patternFill patternType="solid">
        <fgColor indexed="26"/>
        <bgColor indexed="64"/>
      </patternFill>
    </fill>
    <fill>
      <patternFill patternType="solid">
        <fgColor indexed="32"/>
        <bgColor indexed="64"/>
      </patternFill>
    </fill>
    <fill>
      <patternFill patternType="solid">
        <fgColor rgb="FFFFFF00"/>
        <bgColor indexed="64"/>
      </patternFill>
    </fill>
    <fill>
      <patternFill patternType="solid">
        <fgColor theme="9" tint="0.59999389629810485"/>
        <bgColor indexed="64"/>
      </patternFill>
    </fill>
  </fills>
  <borders count="29">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thin">
        <color theme="0"/>
      </left>
      <right/>
      <top style="thin">
        <color indexed="64"/>
      </top>
      <bottom style="thin">
        <color theme="0"/>
      </bottom>
      <diagonal/>
    </border>
    <border>
      <left/>
      <right style="thin">
        <color indexed="64"/>
      </right>
      <top style="thin">
        <color indexed="64"/>
      </top>
      <bottom style="thin">
        <color theme="0"/>
      </bottom>
      <diagonal/>
    </border>
    <border>
      <left style="thin">
        <color theme="0"/>
      </left>
      <right style="thin">
        <color theme="0"/>
      </right>
      <top style="thin">
        <color theme="0"/>
      </top>
      <bottom/>
      <diagonal/>
    </border>
    <border>
      <left style="thin">
        <color theme="0"/>
      </left>
      <right style="thin">
        <color indexed="64"/>
      </right>
      <top style="thin">
        <color theme="0"/>
      </top>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style="thin">
        <color indexed="22"/>
      </left>
      <right/>
      <top style="thin">
        <color indexed="64"/>
      </top>
      <bottom/>
      <diagonal/>
    </border>
    <border>
      <left style="thin">
        <color indexed="22"/>
      </left>
      <right/>
      <top/>
      <bottom/>
      <diagonal/>
    </border>
    <border>
      <left/>
      <right style="medium">
        <color indexed="64"/>
      </right>
      <top style="medium">
        <color indexed="64"/>
      </top>
      <bottom style="medium">
        <color indexed="64"/>
      </bottom>
      <diagonal/>
    </border>
    <border>
      <left style="thin">
        <color indexed="22"/>
      </left>
      <right/>
      <top/>
      <bottom style="thin">
        <color indexed="64"/>
      </bottom>
      <diagonal/>
    </border>
    <border>
      <left style="thin">
        <color indexed="64"/>
      </left>
      <right style="thin">
        <color theme="0"/>
      </right>
      <top style="thin">
        <color theme="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6">
    <xf numFmtId="0" fontId="0" fillId="0" borderId="0"/>
    <xf numFmtId="9" fontId="3" fillId="0" borderId="0" applyFont="0" applyFill="0" applyBorder="0" applyAlignment="0" applyProtection="0"/>
    <xf numFmtId="0" fontId="5" fillId="0" borderId="0" applyNumberFormat="0" applyFill="0" applyBorder="0" applyAlignment="0" applyProtection="0">
      <alignment vertical="top"/>
      <protection locked="0"/>
    </xf>
    <xf numFmtId="0" fontId="10" fillId="0" borderId="0"/>
    <xf numFmtId="9" fontId="3" fillId="0" borderId="0" applyFont="0" applyFill="0" applyBorder="0" applyAlignment="0" applyProtection="0"/>
    <xf numFmtId="0" fontId="2" fillId="0" borderId="0"/>
  </cellStyleXfs>
  <cellXfs count="192">
    <xf numFmtId="0" fontId="0" fillId="0" borderId="0" xfId="0"/>
    <xf numFmtId="0" fontId="0" fillId="2" borderId="0" xfId="0" applyFill="1"/>
    <xf numFmtId="0" fontId="4" fillId="3" borderId="0" xfId="0" applyFont="1" applyFill="1"/>
    <xf numFmtId="0" fontId="0" fillId="3" borderId="0" xfId="0" applyFill="1"/>
    <xf numFmtId="0" fontId="5" fillId="5" borderId="0" xfId="2" applyFill="1" applyAlignment="1" applyProtection="1">
      <alignment horizontal="right"/>
    </xf>
    <xf numFmtId="0" fontId="3" fillId="2" borderId="0" xfId="0" applyFont="1" applyFill="1"/>
    <xf numFmtId="0" fontId="6" fillId="3" borderId="6" xfId="0" applyFont="1" applyFill="1" applyBorder="1"/>
    <xf numFmtId="0" fontId="0" fillId="3" borderId="7" xfId="0" applyFill="1" applyBorder="1"/>
    <xf numFmtId="0" fontId="0" fillId="3" borderId="8" xfId="0" applyFill="1" applyBorder="1"/>
    <xf numFmtId="0" fontId="3" fillId="2" borderId="1" xfId="0" applyFont="1" applyFill="1" applyBorder="1"/>
    <xf numFmtId="0" fontId="3" fillId="4" borderId="9" xfId="0" applyFont="1" applyFill="1" applyBorder="1" applyAlignment="1">
      <alignment horizontal="right"/>
    </xf>
    <xf numFmtId="0" fontId="0" fillId="2" borderId="9" xfId="0" applyFill="1" applyBorder="1" applyAlignment="1">
      <alignment horizontal="right"/>
    </xf>
    <xf numFmtId="0" fontId="0" fillId="4" borderId="9" xfId="0" applyFill="1" applyBorder="1" applyAlignment="1">
      <alignment horizontal="right"/>
    </xf>
    <xf numFmtId="164" fontId="0" fillId="4" borderId="9" xfId="0" applyNumberFormat="1" applyFill="1" applyBorder="1" applyAlignment="1">
      <alignment horizontal="right"/>
    </xf>
    <xf numFmtId="10" fontId="0" fillId="4" borderId="9" xfId="0" applyNumberFormat="1" applyFill="1" applyBorder="1" applyAlignment="1">
      <alignment horizontal="right"/>
    </xf>
    <xf numFmtId="0" fontId="0" fillId="2" borderId="1" xfId="0" applyFill="1" applyBorder="1"/>
    <xf numFmtId="0" fontId="0" fillId="2" borderId="2" xfId="0" applyFill="1" applyBorder="1" applyAlignment="1">
      <alignment horizontal="right"/>
    </xf>
    <xf numFmtId="0" fontId="7" fillId="5" borderId="1" xfId="0" applyFont="1" applyFill="1" applyBorder="1"/>
    <xf numFmtId="0" fontId="3" fillId="2" borderId="3" xfId="0" applyFont="1" applyFill="1" applyBorder="1"/>
    <xf numFmtId="0" fontId="0" fillId="2" borderId="4" xfId="0" applyFill="1" applyBorder="1"/>
    <xf numFmtId="10" fontId="0" fillId="4" borderId="9" xfId="0" applyNumberFormat="1" applyFill="1" applyBorder="1"/>
    <xf numFmtId="10" fontId="0" fillId="2" borderId="0" xfId="0" applyNumberFormat="1" applyFill="1"/>
    <xf numFmtId="0" fontId="0" fillId="2" borderId="10" xfId="0" applyFill="1" applyBorder="1"/>
    <xf numFmtId="0" fontId="3" fillId="2" borderId="10" xfId="0" applyFont="1" applyFill="1" applyBorder="1" applyAlignment="1">
      <alignment horizontal="right"/>
    </xf>
    <xf numFmtId="0" fontId="0" fillId="2" borderId="11" xfId="0" applyFill="1" applyBorder="1" applyAlignment="1">
      <alignment horizontal="right"/>
    </xf>
    <xf numFmtId="0" fontId="3" fillId="2" borderId="11" xfId="0" applyFont="1" applyFill="1" applyBorder="1" applyAlignment="1">
      <alignment horizontal="right"/>
    </xf>
    <xf numFmtId="0" fontId="3" fillId="2" borderId="12" xfId="0" applyFont="1" applyFill="1" applyBorder="1" applyAlignment="1">
      <alignment horizontal="right"/>
    </xf>
    <xf numFmtId="164" fontId="3" fillId="6" borderId="9" xfId="1" applyNumberFormat="1" applyFont="1" applyFill="1" applyBorder="1"/>
    <xf numFmtId="0" fontId="0" fillId="6" borderId="9" xfId="0" applyFill="1" applyBorder="1"/>
    <xf numFmtId="165" fontId="0" fillId="6" borderId="9" xfId="0" applyNumberFormat="1" applyFill="1" applyBorder="1"/>
    <xf numFmtId="10" fontId="0" fillId="2" borderId="4" xfId="0" applyNumberFormat="1" applyFill="1" applyBorder="1"/>
    <xf numFmtId="0" fontId="0" fillId="2" borderId="5" xfId="0" applyFill="1" applyBorder="1"/>
    <xf numFmtId="0" fontId="3" fillId="2" borderId="9" xfId="0" applyFont="1" applyFill="1" applyBorder="1"/>
    <xf numFmtId="0" fontId="8" fillId="3" borderId="13" xfId="0" applyFont="1" applyFill="1" applyBorder="1" applyAlignment="1">
      <alignment horizontal="centerContinuous"/>
    </xf>
    <xf numFmtId="0" fontId="8" fillId="3" borderId="14" xfId="0" applyFont="1" applyFill="1" applyBorder="1" applyAlignment="1">
      <alignment horizontal="centerContinuous"/>
    </xf>
    <xf numFmtId="0" fontId="8" fillId="3" borderId="15" xfId="0" applyFont="1" applyFill="1" applyBorder="1" applyAlignment="1">
      <alignment horizontal="centerContinuous"/>
    </xf>
    <xf numFmtId="0" fontId="8" fillId="3" borderId="16" xfId="0" applyFont="1" applyFill="1" applyBorder="1" applyAlignment="1">
      <alignment horizontal="centerContinuous"/>
    </xf>
    <xf numFmtId="0" fontId="9" fillId="3" borderId="1" xfId="0" applyFont="1" applyFill="1" applyBorder="1"/>
    <xf numFmtId="0" fontId="9" fillId="3" borderId="17" xfId="0" applyFont="1" applyFill="1" applyBorder="1" applyAlignment="1">
      <alignment horizontal="right"/>
    </xf>
    <xf numFmtId="0" fontId="9" fillId="3" borderId="18" xfId="0" applyFont="1" applyFill="1" applyBorder="1" applyAlignment="1">
      <alignment horizontal="right"/>
    </xf>
    <xf numFmtId="0" fontId="9" fillId="3" borderId="3" xfId="0" applyFont="1" applyFill="1" applyBorder="1" applyAlignment="1">
      <alignment horizontal="right"/>
    </xf>
    <xf numFmtId="0" fontId="9" fillId="3" borderId="19" xfId="0" applyFont="1" applyFill="1" applyBorder="1" applyAlignment="1">
      <alignment horizontal="right"/>
    </xf>
    <xf numFmtId="0" fontId="9" fillId="3" borderId="20" xfId="0" applyFont="1" applyFill="1" applyBorder="1" applyAlignment="1">
      <alignment horizontal="right"/>
    </xf>
    <xf numFmtId="2" fontId="3" fillId="4" borderId="11" xfId="3" applyNumberFormat="1" applyFont="1" applyFill="1" applyBorder="1" applyProtection="1">
      <protection locked="0"/>
    </xf>
    <xf numFmtId="164" fontId="3" fillId="4" borderId="21" xfId="4" applyNumberFormat="1" applyFill="1" applyBorder="1" applyAlignment="1" applyProtection="1">
      <alignment horizontal="right"/>
      <protection locked="0"/>
    </xf>
    <xf numFmtId="164" fontId="3" fillId="4" borderId="22" xfId="4" applyNumberFormat="1" applyFill="1" applyBorder="1" applyAlignment="1" applyProtection="1">
      <alignment horizontal="right"/>
      <protection locked="0"/>
    </xf>
    <xf numFmtId="164" fontId="3" fillId="2" borderId="11" xfId="1" applyNumberFormat="1" applyFont="1" applyFill="1" applyBorder="1"/>
    <xf numFmtId="2" fontId="0" fillId="2" borderId="11" xfId="0" applyNumberFormat="1" applyFill="1" applyBorder="1"/>
    <xf numFmtId="166" fontId="0" fillId="2" borderId="11" xfId="0" applyNumberFormat="1" applyFill="1" applyBorder="1"/>
    <xf numFmtId="0" fontId="3" fillId="2" borderId="23" xfId="0" applyFont="1" applyFill="1" applyBorder="1"/>
    <xf numFmtId="2" fontId="3" fillId="4" borderId="12" xfId="3" applyNumberFormat="1" applyFont="1" applyFill="1" applyBorder="1" applyProtection="1">
      <protection locked="0"/>
    </xf>
    <xf numFmtId="164" fontId="3" fillId="4" borderId="24" xfId="4" applyNumberFormat="1" applyFill="1" applyBorder="1" applyAlignment="1" applyProtection="1">
      <alignment horizontal="right"/>
      <protection locked="0"/>
    </xf>
    <xf numFmtId="164" fontId="3" fillId="2" borderId="12" xfId="1" applyNumberFormat="1" applyFont="1" applyFill="1" applyBorder="1"/>
    <xf numFmtId="164" fontId="0" fillId="2" borderId="0" xfId="0" applyNumberFormat="1" applyFill="1"/>
    <xf numFmtId="0" fontId="11" fillId="2" borderId="0" xfId="0" applyFont="1" applyFill="1"/>
    <xf numFmtId="0" fontId="6" fillId="7" borderId="6" xfId="0" applyFont="1" applyFill="1" applyBorder="1"/>
    <xf numFmtId="0" fontId="3" fillId="7" borderId="7" xfId="0" applyFont="1" applyFill="1" applyBorder="1"/>
    <xf numFmtId="0" fontId="3" fillId="7" borderId="8" xfId="0" applyFont="1" applyFill="1" applyBorder="1"/>
    <xf numFmtId="2" fontId="0" fillId="4" borderId="9" xfId="0" applyNumberFormat="1" applyFill="1" applyBorder="1" applyAlignment="1">
      <alignment horizontal="right"/>
    </xf>
    <xf numFmtId="9" fontId="0" fillId="4" borderId="9" xfId="0" applyNumberFormat="1" applyFill="1" applyBorder="1" applyAlignment="1">
      <alignment horizontal="right"/>
    </xf>
    <xf numFmtId="9" fontId="0" fillId="2" borderId="9" xfId="0" applyNumberFormat="1" applyFill="1" applyBorder="1" applyAlignment="1">
      <alignment horizontal="right"/>
    </xf>
    <xf numFmtId="0" fontId="8" fillId="3" borderId="6" xfId="0" applyFont="1" applyFill="1" applyBorder="1"/>
    <xf numFmtId="0" fontId="8" fillId="3" borderId="7" xfId="0" applyFont="1" applyFill="1" applyBorder="1" applyAlignment="1">
      <alignment horizontal="center"/>
    </xf>
    <xf numFmtId="0" fontId="8" fillId="3" borderId="7" xfId="0" applyFont="1" applyFill="1" applyBorder="1"/>
    <xf numFmtId="0" fontId="9" fillId="3" borderId="7" xfId="0" applyFont="1" applyFill="1" applyBorder="1"/>
    <xf numFmtId="0" fontId="3" fillId="2" borderId="0" xfId="0" applyFont="1" applyFill="1" applyAlignment="1">
      <alignment horizontal="right"/>
    </xf>
    <xf numFmtId="2" fontId="9" fillId="3" borderId="25" xfId="0" applyNumberFormat="1" applyFont="1" applyFill="1" applyBorder="1"/>
    <xf numFmtId="0" fontId="9" fillId="2" borderId="10" xfId="0" applyFont="1" applyFill="1" applyBorder="1"/>
    <xf numFmtId="0" fontId="3" fillId="2" borderId="4" xfId="0" applyFont="1" applyFill="1" applyBorder="1" applyAlignment="1">
      <alignment horizontal="right"/>
    </xf>
    <xf numFmtId="0" fontId="0" fillId="2" borderId="2" xfId="0" applyFill="1" applyBorder="1"/>
    <xf numFmtId="0" fontId="3" fillId="4" borderId="9" xfId="0" applyFont="1" applyFill="1" applyBorder="1" applyAlignment="1">
      <alignment horizontal="center"/>
    </xf>
    <xf numFmtId="166" fontId="0" fillId="6" borderId="9" xfId="0" applyNumberFormat="1" applyFill="1" applyBorder="1"/>
    <xf numFmtId="0" fontId="3" fillId="2" borderId="9" xfId="0" applyFont="1" applyFill="1" applyBorder="1" applyAlignment="1">
      <alignment horizontal="center"/>
    </xf>
    <xf numFmtId="166" fontId="0" fillId="2" borderId="9" xfId="0" applyNumberFormat="1" applyFill="1" applyBorder="1"/>
    <xf numFmtId="0" fontId="0" fillId="2" borderId="0" xfId="0" applyFill="1" applyAlignment="1">
      <alignment horizontal="center"/>
    </xf>
    <xf numFmtId="0" fontId="0" fillId="2" borderId="0" xfId="0" applyFill="1" applyAlignment="1">
      <alignment horizontal="right"/>
    </xf>
    <xf numFmtId="0" fontId="0" fillId="2" borderId="3" xfId="0" applyFill="1" applyBorder="1"/>
    <xf numFmtId="0" fontId="5" fillId="5" borderId="0" xfId="2" applyFill="1" applyAlignment="1" applyProtection="1"/>
    <xf numFmtId="166" fontId="0" fillId="2" borderId="0" xfId="0" applyNumberFormat="1" applyFill="1"/>
    <xf numFmtId="0" fontId="3" fillId="7" borderId="7" xfId="0" applyFont="1" applyFill="1" applyBorder="1" applyAlignment="1">
      <alignment horizontal="left"/>
    </xf>
    <xf numFmtId="0" fontId="3" fillId="5" borderId="26" xfId="0" applyFont="1" applyFill="1" applyBorder="1"/>
    <xf numFmtId="0" fontId="0" fillId="2" borderId="9" xfId="0" applyFill="1" applyBorder="1"/>
    <xf numFmtId="0" fontId="0" fillId="2" borderId="27" xfId="0" applyFill="1" applyBorder="1"/>
    <xf numFmtId="0" fontId="0" fillId="2" borderId="28" xfId="0" applyFill="1" applyBorder="1"/>
    <xf numFmtId="0" fontId="3" fillId="5" borderId="6" xfId="0" applyFont="1" applyFill="1" applyBorder="1"/>
    <xf numFmtId="2" fontId="0" fillId="4" borderId="9" xfId="0" applyNumberFormat="1" applyFill="1" applyBorder="1"/>
    <xf numFmtId="0" fontId="3" fillId="2" borderId="6" xfId="0" applyFont="1" applyFill="1" applyBorder="1"/>
    <xf numFmtId="10" fontId="3" fillId="6" borderId="9" xfId="1" applyNumberFormat="1" applyFont="1" applyFill="1" applyBorder="1"/>
    <xf numFmtId="0" fontId="0" fillId="2" borderId="10" xfId="0" applyFill="1" applyBorder="1" applyAlignment="1">
      <alignment horizontal="right"/>
    </xf>
    <xf numFmtId="0" fontId="0" fillId="2" borderId="26" xfId="0" applyFill="1" applyBorder="1" applyAlignment="1">
      <alignment horizontal="right"/>
    </xf>
    <xf numFmtId="0" fontId="3" fillId="2" borderId="3" xfId="0" applyFont="1" applyFill="1" applyBorder="1" applyAlignment="1">
      <alignment horizontal="right"/>
    </xf>
    <xf numFmtId="10" fontId="3" fillId="6" borderId="12" xfId="1" applyNumberFormat="1" applyFont="1" applyFill="1" applyBorder="1"/>
    <xf numFmtId="2" fontId="0" fillId="6" borderId="3" xfId="0" applyNumberFormat="1" applyFill="1" applyBorder="1"/>
    <xf numFmtId="1" fontId="0" fillId="6" borderId="9" xfId="0" applyNumberFormat="1" applyFill="1" applyBorder="1"/>
    <xf numFmtId="167" fontId="0" fillId="6" borderId="6" xfId="0" applyNumberFormat="1" applyFill="1" applyBorder="1"/>
    <xf numFmtId="9" fontId="0" fillId="2" borderId="0" xfId="0" applyNumberFormat="1" applyFill="1"/>
    <xf numFmtId="14" fontId="0" fillId="2" borderId="0" xfId="0" applyNumberFormat="1" applyFill="1"/>
    <xf numFmtId="0" fontId="3" fillId="5" borderId="0" xfId="0" applyFont="1" applyFill="1"/>
    <xf numFmtId="0" fontId="3" fillId="8" borderId="5" xfId="0" applyFont="1" applyFill="1" applyBorder="1"/>
    <xf numFmtId="0" fontId="3" fillId="8" borderId="4" xfId="0" applyFont="1" applyFill="1" applyBorder="1"/>
    <xf numFmtId="0" fontId="3" fillId="8" borderId="3" xfId="0" applyFont="1" applyFill="1" applyBorder="1"/>
    <xf numFmtId="0" fontId="3" fillId="8" borderId="2" xfId="0" applyFont="1" applyFill="1" applyBorder="1"/>
    <xf numFmtId="0" fontId="3" fillId="8" borderId="0" xfId="0" applyFont="1" applyFill="1"/>
    <xf numFmtId="0" fontId="3" fillId="8" borderId="1" xfId="0" applyFont="1" applyFill="1" applyBorder="1"/>
    <xf numFmtId="0" fontId="3" fillId="8" borderId="28" xfId="0" applyFont="1" applyFill="1" applyBorder="1"/>
    <xf numFmtId="0" fontId="3" fillId="8" borderId="27" xfId="0" applyFont="1" applyFill="1" applyBorder="1"/>
    <xf numFmtId="0" fontId="3" fillId="8" borderId="26" xfId="0" applyFont="1" applyFill="1" applyBorder="1"/>
    <xf numFmtId="165" fontId="3" fillId="5" borderId="12" xfId="0" applyNumberFormat="1" applyFont="1" applyFill="1" applyBorder="1"/>
    <xf numFmtId="0" fontId="3" fillId="5" borderId="4" xfId="0" applyFont="1" applyFill="1" applyBorder="1"/>
    <xf numFmtId="0" fontId="3" fillId="5" borderId="3" xfId="0" applyFont="1" applyFill="1" applyBorder="1"/>
    <xf numFmtId="165" fontId="3" fillId="5" borderId="9" xfId="0" applyNumberFormat="1" applyFont="1" applyFill="1" applyBorder="1"/>
    <xf numFmtId="0" fontId="3" fillId="5" borderId="1" xfId="0" applyFont="1" applyFill="1" applyBorder="1"/>
    <xf numFmtId="0" fontId="3" fillId="5" borderId="2" xfId="0" applyFont="1" applyFill="1" applyBorder="1"/>
    <xf numFmtId="0" fontId="3" fillId="5" borderId="9" xfId="0" applyFont="1" applyFill="1" applyBorder="1" applyAlignment="1">
      <alignment horizontal="center"/>
    </xf>
    <xf numFmtId="9" fontId="3" fillId="5" borderId="9" xfId="0" applyNumberFormat="1" applyFont="1" applyFill="1" applyBorder="1" applyAlignment="1">
      <alignment horizontal="center"/>
    </xf>
    <xf numFmtId="0" fontId="6" fillId="7" borderId="8" xfId="0" applyFont="1" applyFill="1" applyBorder="1" applyAlignment="1">
      <alignment horizontal="right"/>
    </xf>
    <xf numFmtId="0" fontId="6" fillId="7" borderId="7" xfId="0" applyFont="1" applyFill="1" applyBorder="1" applyAlignment="1">
      <alignment horizontal="center" wrapText="1"/>
    </xf>
    <xf numFmtId="10" fontId="3" fillId="9" borderId="9" xfId="1" applyNumberFormat="1" applyFont="1" applyFill="1" applyBorder="1"/>
    <xf numFmtId="0" fontId="3" fillId="8" borderId="9" xfId="0" applyFont="1" applyFill="1" applyBorder="1" applyAlignment="1">
      <alignment horizontal="center"/>
    </xf>
    <xf numFmtId="168" fontId="11" fillId="5" borderId="2" xfId="0" applyNumberFormat="1" applyFont="1" applyFill="1" applyBorder="1"/>
    <xf numFmtId="0" fontId="12" fillId="5" borderId="0" xfId="0" applyFont="1" applyFill="1" applyAlignment="1">
      <alignment horizontal="center"/>
    </xf>
    <xf numFmtId="3" fontId="11" fillId="5" borderId="0" xfId="0" applyNumberFormat="1" applyFont="1" applyFill="1"/>
    <xf numFmtId="168" fontId="3" fillId="9" borderId="9" xfId="0" applyNumberFormat="1" applyFont="1" applyFill="1" applyBorder="1"/>
    <xf numFmtId="3" fontId="3" fillId="5" borderId="0" xfId="0" applyNumberFormat="1" applyFont="1" applyFill="1"/>
    <xf numFmtId="0" fontId="6" fillId="7" borderId="28" xfId="0" applyFont="1" applyFill="1" applyBorder="1" applyAlignment="1">
      <alignment horizontal="right"/>
    </xf>
    <xf numFmtId="0" fontId="6" fillId="7" borderId="7" xfId="0" applyFont="1" applyFill="1" applyBorder="1" applyAlignment="1">
      <alignment horizontal="center"/>
    </xf>
    <xf numFmtId="0" fontId="7" fillId="5" borderId="0" xfId="0" applyFont="1" applyFill="1"/>
    <xf numFmtId="0" fontId="3" fillId="5" borderId="9" xfId="0" applyFont="1" applyFill="1" applyBorder="1"/>
    <xf numFmtId="15" fontId="12" fillId="5" borderId="2" xfId="0" applyNumberFormat="1" applyFont="1" applyFill="1" applyBorder="1" applyAlignment="1">
      <alignment horizontal="left"/>
    </xf>
    <xf numFmtId="2" fontId="12" fillId="5" borderId="0" xfId="0" applyNumberFormat="1" applyFont="1" applyFill="1"/>
    <xf numFmtId="169" fontId="3" fillId="8" borderId="8" xfId="0" applyNumberFormat="1" applyFont="1" applyFill="1" applyBorder="1" applyAlignment="1">
      <alignment horizontal="right"/>
    </xf>
    <xf numFmtId="2" fontId="3" fillId="8" borderId="6" xfId="0" applyNumberFormat="1" applyFont="1" applyFill="1" applyBorder="1" applyAlignment="1">
      <alignment horizontal="right"/>
    </xf>
    <xf numFmtId="0" fontId="3" fillId="5" borderId="1" xfId="0" applyFont="1" applyFill="1" applyBorder="1" applyAlignment="1">
      <alignment horizontal="right"/>
    </xf>
    <xf numFmtId="0" fontId="6" fillId="7" borderId="6" xfId="0" applyFont="1" applyFill="1" applyBorder="1" applyAlignment="1">
      <alignment horizontal="right"/>
    </xf>
    <xf numFmtId="0" fontId="12" fillId="5" borderId="2" xfId="0" applyFont="1" applyFill="1" applyBorder="1" applyAlignment="1">
      <alignment horizontal="left"/>
    </xf>
    <xf numFmtId="0" fontId="3" fillId="8" borderId="9" xfId="0" applyFont="1" applyFill="1" applyBorder="1" applyAlignment="1">
      <alignment horizontal="right"/>
    </xf>
    <xf numFmtId="10" fontId="3" fillId="8" borderId="9" xfId="1" applyNumberFormat="1" applyFont="1" applyFill="1" applyBorder="1" applyAlignment="1">
      <alignment horizontal="right"/>
    </xf>
    <xf numFmtId="4" fontId="3" fillId="8" borderId="9" xfId="0" applyNumberFormat="1" applyFont="1" applyFill="1" applyBorder="1" applyAlignment="1">
      <alignment horizontal="right"/>
    </xf>
    <xf numFmtId="169" fontId="3" fillId="8" borderId="9" xfId="0" applyNumberFormat="1" applyFont="1" applyFill="1" applyBorder="1" applyAlignment="1">
      <alignment horizontal="right"/>
    </xf>
    <xf numFmtId="0" fontId="12" fillId="5" borderId="0" xfId="0" applyFont="1" applyFill="1"/>
    <xf numFmtId="0" fontId="3" fillId="5" borderId="9" xfId="0" applyFont="1" applyFill="1" applyBorder="1" applyAlignment="1">
      <alignment horizontal="right"/>
    </xf>
    <xf numFmtId="0" fontId="12" fillId="5" borderId="27" xfId="0" applyFont="1" applyFill="1" applyBorder="1"/>
    <xf numFmtId="0" fontId="6" fillId="7" borderId="0" xfId="0" applyFont="1" applyFill="1"/>
    <xf numFmtId="0" fontId="11" fillId="5" borderId="0" xfId="0" applyFont="1" applyFill="1"/>
    <xf numFmtId="0" fontId="13" fillId="7" borderId="0" xfId="0" applyFont="1" applyFill="1"/>
    <xf numFmtId="0" fontId="14" fillId="7" borderId="0" xfId="0" applyFont="1" applyFill="1"/>
    <xf numFmtId="0" fontId="13" fillId="5" borderId="0" xfId="0" applyFont="1" applyFill="1"/>
    <xf numFmtId="0" fontId="14" fillId="10" borderId="0" xfId="0" applyFont="1" applyFill="1"/>
    <xf numFmtId="0" fontId="13" fillId="10" borderId="0" xfId="0" applyFont="1" applyFill="1"/>
    <xf numFmtId="0" fontId="3" fillId="7" borderId="28" xfId="0" applyFont="1" applyFill="1" applyBorder="1"/>
    <xf numFmtId="0" fontId="3" fillId="5" borderId="27" xfId="0" applyFont="1" applyFill="1" applyBorder="1"/>
    <xf numFmtId="2" fontId="3" fillId="5" borderId="9" xfId="0" applyNumberFormat="1" applyFont="1" applyFill="1" applyBorder="1" applyAlignment="1">
      <alignment horizontal="right"/>
    </xf>
    <xf numFmtId="2" fontId="3" fillId="8" borderId="9" xfId="0" applyNumberFormat="1" applyFont="1" applyFill="1" applyBorder="1" applyAlignment="1">
      <alignment horizontal="right"/>
    </xf>
    <xf numFmtId="170" fontId="3" fillId="8" borderId="9" xfId="0" applyNumberFormat="1" applyFont="1" applyFill="1" applyBorder="1" applyAlignment="1">
      <alignment horizontal="right"/>
    </xf>
    <xf numFmtId="9" fontId="3" fillId="8" borderId="9" xfId="0" applyNumberFormat="1" applyFont="1" applyFill="1" applyBorder="1" applyAlignment="1">
      <alignment horizontal="right"/>
    </xf>
    <xf numFmtId="0" fontId="12" fillId="5" borderId="2" xfId="0" applyFont="1" applyFill="1" applyBorder="1" applyAlignment="1">
      <alignment horizontal="right"/>
    </xf>
    <xf numFmtId="1" fontId="3" fillId="5" borderId="2" xfId="0" applyNumberFormat="1" applyFont="1" applyFill="1" applyBorder="1" applyAlignment="1">
      <alignment horizontal="right"/>
    </xf>
    <xf numFmtId="2" fontId="12" fillId="5" borderId="2" xfId="0" applyNumberFormat="1" applyFont="1" applyFill="1" applyBorder="1" applyAlignment="1">
      <alignment horizontal="right"/>
    </xf>
    <xf numFmtId="2" fontId="3" fillId="2" borderId="10" xfId="0" applyNumberFormat="1" applyFont="1" applyFill="1" applyBorder="1"/>
    <xf numFmtId="0" fontId="3" fillId="5" borderId="28" xfId="0" applyFont="1" applyFill="1" applyBorder="1"/>
    <xf numFmtId="2" fontId="3" fillId="8" borderId="10" xfId="0" applyNumberFormat="1" applyFont="1" applyFill="1" applyBorder="1"/>
    <xf numFmtId="166" fontId="3" fillId="9" borderId="9" xfId="0" applyNumberFormat="1" applyFont="1" applyFill="1" applyBorder="1"/>
    <xf numFmtId="166" fontId="3" fillId="5" borderId="9" xfId="0" applyNumberFormat="1" applyFont="1" applyFill="1" applyBorder="1"/>
    <xf numFmtId="166" fontId="3" fillId="5" borderId="11" xfId="0" applyNumberFormat="1" applyFont="1" applyFill="1" applyBorder="1"/>
    <xf numFmtId="171" fontId="3" fillId="5" borderId="0" xfId="1" applyNumberFormat="1" applyFont="1" applyFill="1"/>
    <xf numFmtId="172" fontId="3" fillId="5" borderId="0" xfId="0" applyNumberFormat="1" applyFont="1" applyFill="1"/>
    <xf numFmtId="9" fontId="3" fillId="5" borderId="0" xfId="0" applyNumberFormat="1" applyFont="1" applyFill="1"/>
    <xf numFmtId="0" fontId="15" fillId="5" borderId="0" xfId="0" applyFont="1" applyFill="1"/>
    <xf numFmtId="0" fontId="15" fillId="5" borderId="0" xfId="0" applyFont="1" applyFill="1" applyAlignment="1">
      <alignment horizontal="left"/>
    </xf>
    <xf numFmtId="2" fontId="0" fillId="2" borderId="0" xfId="0" applyNumberFormat="1" applyFill="1"/>
    <xf numFmtId="0" fontId="0" fillId="11" borderId="6" xfId="0" applyFill="1" applyBorder="1"/>
    <xf numFmtId="0" fontId="3" fillId="11" borderId="7" xfId="0" applyFont="1" applyFill="1" applyBorder="1" applyAlignment="1">
      <alignment horizontal="right"/>
    </xf>
    <xf numFmtId="2" fontId="11" fillId="2" borderId="12" xfId="0" applyNumberFormat="1" applyFont="1" applyFill="1" applyBorder="1"/>
    <xf numFmtId="10" fontId="11" fillId="6" borderId="9" xfId="1" applyNumberFormat="1" applyFont="1" applyFill="1" applyBorder="1"/>
    <xf numFmtId="0" fontId="3" fillId="7" borderId="0" xfId="0" applyFont="1" applyFill="1"/>
    <xf numFmtId="9" fontId="0" fillId="2" borderId="0" xfId="0" applyNumberFormat="1" applyFill="1" applyAlignment="1">
      <alignment horizontal="right"/>
    </xf>
    <xf numFmtId="173" fontId="0" fillId="2" borderId="0" xfId="0" applyNumberFormat="1" applyFill="1"/>
    <xf numFmtId="0" fontId="16" fillId="0" borderId="0" xfId="5" applyFont="1"/>
    <xf numFmtId="0" fontId="2" fillId="12" borderId="0" xfId="5" applyFill="1"/>
    <xf numFmtId="0" fontId="2" fillId="0" borderId="0" xfId="5"/>
    <xf numFmtId="1" fontId="2" fillId="0" borderId="0" xfId="5" applyNumberFormat="1"/>
    <xf numFmtId="14" fontId="2" fillId="0" borderId="0" xfId="5" applyNumberFormat="1"/>
    <xf numFmtId="2" fontId="2" fillId="12" borderId="0" xfId="5" applyNumberFormat="1" applyFill="1"/>
    <xf numFmtId="0" fontId="16" fillId="0" borderId="0" xfId="5" quotePrefix="1" applyFont="1"/>
    <xf numFmtId="10" fontId="2" fillId="12" borderId="0" xfId="5" applyNumberFormat="1" applyFill="1"/>
    <xf numFmtId="172" fontId="2" fillId="12" borderId="0" xfId="5" applyNumberFormat="1" applyFill="1"/>
    <xf numFmtId="172" fontId="2" fillId="0" borderId="0" xfId="5" applyNumberFormat="1"/>
    <xf numFmtId="2" fontId="2" fillId="0" borderId="0" xfId="5" applyNumberFormat="1"/>
    <xf numFmtId="172" fontId="16" fillId="0" borderId="0" xfId="5" applyNumberFormat="1" applyFont="1"/>
    <xf numFmtId="14" fontId="2" fillId="12" borderId="0" xfId="5" applyNumberFormat="1" applyFill="1"/>
    <xf numFmtId="1" fontId="0" fillId="4" borderId="9" xfId="0" applyNumberFormat="1" applyFill="1" applyBorder="1" applyAlignment="1">
      <alignment horizontal="right"/>
    </xf>
    <xf numFmtId="0" fontId="1" fillId="0" borderId="0" xfId="5" applyFont="1"/>
  </cellXfs>
  <cellStyles count="6">
    <cellStyle name="Hyperlink" xfId="2" builtinId="8"/>
    <cellStyle name="Normal" xfId="0" builtinId="0"/>
    <cellStyle name="Normal 2" xfId="3" xr:uid="{66C25265-F31F-4563-B5C0-3645AC579AA0}"/>
    <cellStyle name="Normal 3" xfId="5" xr:uid="{DD499B61-1995-4904-B07E-E9CBB647E8C0}"/>
    <cellStyle name="Percent" xfId="1" builtinId="5"/>
    <cellStyle name="Percent 3" xfId="4" xr:uid="{48947617-2BB0-4743-9EFB-9DFBB3A73D2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80"/>
                </a:solidFill>
                <a:latin typeface="Arial"/>
                <a:ea typeface="Arial"/>
                <a:cs typeface="Arial"/>
              </a:defRPr>
            </a:pPr>
            <a:r>
              <a:rPr lang="en-US"/>
              <a:t>Volatility Smile</a:t>
            </a:r>
          </a:p>
        </c:rich>
      </c:tx>
      <c:layout>
        <c:manualLayout>
          <c:xMode val="edge"/>
          <c:yMode val="edge"/>
          <c:x val="0.38161114476075109"/>
          <c:y val="2.1403819699386449E-2"/>
        </c:manualLayout>
      </c:layout>
      <c:overlay val="0"/>
      <c:spPr>
        <a:noFill/>
        <a:ln w="25400">
          <a:noFill/>
        </a:ln>
      </c:spPr>
    </c:title>
    <c:autoTitleDeleted val="0"/>
    <c:plotArea>
      <c:layout>
        <c:manualLayout>
          <c:layoutTarget val="inner"/>
          <c:xMode val="edge"/>
          <c:yMode val="edge"/>
          <c:x val="0.14285714285714285"/>
          <c:y val="0.11838042244822834"/>
          <c:w val="0.79879275653923543"/>
          <c:h val="0.73208945461404373"/>
        </c:manualLayout>
      </c:layout>
      <c:lineChart>
        <c:grouping val="standard"/>
        <c:varyColors val="0"/>
        <c:ser>
          <c:idx val="0"/>
          <c:order val="0"/>
          <c:spPr>
            <a:ln w="25400">
              <a:solidFill>
                <a:srgbClr val="000080"/>
              </a:solidFill>
              <a:prstDash val="solid"/>
            </a:ln>
          </c:spPr>
          <c:marker>
            <c:symbol val="none"/>
          </c:marker>
          <c:cat>
            <c:numRef>
              <c:f>'11 OptionsNLN'!$C$32:$X$32</c:f>
              <c:numCache>
                <c:formatCode>0.00</c:formatCode>
                <c:ptCount val="22"/>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numCache>
            </c:numRef>
          </c:cat>
          <c:val>
            <c:numRef>
              <c:f>'11 OptionsNLN'!$C$35:$X$35</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183A-4ABD-9C13-81CBE36B7FAF}"/>
            </c:ext>
          </c:extLst>
        </c:ser>
        <c:ser>
          <c:idx val="1"/>
          <c:order val="1"/>
          <c:spPr>
            <a:ln w="12700">
              <a:solidFill>
                <a:srgbClr val="FFFF00"/>
              </a:solidFill>
              <a:prstDash val="solid"/>
            </a:ln>
          </c:spPr>
          <c:marker>
            <c:symbol val="none"/>
          </c:marker>
          <c:cat>
            <c:numRef>
              <c:f>'11 OptionsNLN'!$C$32:$X$32</c:f>
              <c:numCache>
                <c:formatCode>0.00</c:formatCode>
                <c:ptCount val="22"/>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numCache>
            </c:numRef>
          </c:cat>
          <c:val>
            <c:numRef>
              <c:f>'11 OptionsNLN'!$C$90:$X$90</c:f>
              <c:numCache>
                <c:formatCode>0%</c:formatCode>
                <c:ptCount val="22"/>
                <c:pt idx="0">
                  <c:v>0.25</c:v>
                </c:pt>
                <c:pt idx="1">
                  <c:v>0.25</c:v>
                </c:pt>
                <c:pt idx="2">
                  <c:v>0.25</c:v>
                </c:pt>
                <c:pt idx="3">
                  <c:v>0.25</c:v>
                </c:pt>
                <c:pt idx="4">
                  <c:v>0.25</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pt idx="19">
                  <c:v>0.25</c:v>
                </c:pt>
                <c:pt idx="20">
                  <c:v>0.25</c:v>
                </c:pt>
                <c:pt idx="21">
                  <c:v>0.25</c:v>
                </c:pt>
              </c:numCache>
            </c:numRef>
          </c:val>
          <c:smooth val="0"/>
          <c:extLst>
            <c:ext xmlns:c16="http://schemas.microsoft.com/office/drawing/2014/chart" uri="{C3380CC4-5D6E-409C-BE32-E72D297353CC}">
              <c16:uniqueId val="{00000001-183A-4ABD-9C13-81CBE36B7FAF}"/>
            </c:ext>
          </c:extLst>
        </c:ser>
        <c:dLbls>
          <c:showLegendKey val="0"/>
          <c:showVal val="0"/>
          <c:showCatName val="0"/>
          <c:showSerName val="0"/>
          <c:showPercent val="0"/>
          <c:showBubbleSize val="0"/>
        </c:dLbls>
        <c:smooth val="0"/>
        <c:axId val="1200228367"/>
        <c:axId val="1"/>
      </c:lineChart>
      <c:catAx>
        <c:axId val="1200228367"/>
        <c:scaling>
          <c:orientation val="minMax"/>
        </c:scaling>
        <c:delete val="0"/>
        <c:axPos val="b"/>
        <c:majorGridlines>
          <c:spPr>
            <a:ln>
              <a:solidFill>
                <a:srgbClr val="969696"/>
              </a:solidFill>
            </a:ln>
          </c:spPr>
        </c:majorGridlines>
        <c:title>
          <c:tx>
            <c:rich>
              <a:bodyPr/>
              <a:lstStyle/>
              <a:p>
                <a:pPr>
                  <a:defRPr sz="1000" b="1" i="0" u="none" strike="noStrike" baseline="0">
                    <a:solidFill>
                      <a:srgbClr val="000080"/>
                    </a:solidFill>
                    <a:latin typeface="Arial"/>
                    <a:ea typeface="Arial"/>
                    <a:cs typeface="Arial"/>
                  </a:defRPr>
                </a:pPr>
                <a:r>
                  <a:rPr lang="en-US"/>
                  <a:t>Strike</a:t>
                </a:r>
              </a:p>
            </c:rich>
          </c:tx>
          <c:layout>
            <c:manualLayout>
              <c:xMode val="edge"/>
              <c:yMode val="edge"/>
              <c:x val="0.50100608881379705"/>
              <c:y val="0.9158906583622383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2"/>
        <c:tickMarkSkip val="1"/>
        <c:noMultiLvlLbl val="0"/>
      </c:catAx>
      <c:valAx>
        <c:axId val="1"/>
        <c:scaling>
          <c:orientation val="minMax"/>
          <c:min val="0.2"/>
        </c:scaling>
        <c:delete val="0"/>
        <c:axPos val="l"/>
        <c:majorGridlines>
          <c:spPr>
            <a:ln w="3175">
              <a:solidFill>
                <a:srgbClr val="969696"/>
              </a:solidFill>
              <a:prstDash val="solid"/>
            </a:ln>
          </c:spPr>
        </c:majorGridlines>
        <c:title>
          <c:tx>
            <c:rich>
              <a:bodyPr/>
              <a:lstStyle/>
              <a:p>
                <a:pPr>
                  <a:defRPr sz="1000" b="1" i="0" u="none" strike="noStrike" baseline="0">
                    <a:solidFill>
                      <a:srgbClr val="000080"/>
                    </a:solidFill>
                    <a:latin typeface="Arial"/>
                    <a:ea typeface="Arial"/>
                    <a:cs typeface="Arial"/>
                  </a:defRPr>
                </a:pPr>
                <a:r>
                  <a:rPr lang="en-US"/>
                  <a:t>Volatility</a:t>
                </a:r>
              </a:p>
            </c:rich>
          </c:tx>
          <c:layout>
            <c:manualLayout>
              <c:xMode val="edge"/>
              <c:yMode val="edge"/>
              <c:x val="3.2193141849171686E-2"/>
              <c:y val="0.3894094910161953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00228367"/>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CC"/>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80"/>
                </a:solidFill>
                <a:latin typeface="Arial"/>
                <a:ea typeface="Arial"/>
                <a:cs typeface="Arial"/>
              </a:defRPr>
            </a:pPr>
            <a:r>
              <a:rPr lang="en-US"/>
              <a:t>Volatility Smile from SABR Model</a:t>
            </a:r>
          </a:p>
        </c:rich>
      </c:tx>
      <c:layout>
        <c:manualLayout>
          <c:xMode val="edge"/>
          <c:yMode val="edge"/>
          <c:x val="0.31646332087276968"/>
          <c:y val="2.5698416730166797E-2"/>
        </c:manualLayout>
      </c:layout>
      <c:overlay val="0"/>
      <c:spPr>
        <a:noFill/>
        <a:ln w="25400">
          <a:noFill/>
        </a:ln>
      </c:spPr>
    </c:title>
    <c:autoTitleDeleted val="0"/>
    <c:plotArea>
      <c:layout>
        <c:manualLayout>
          <c:layoutTarget val="inner"/>
          <c:xMode val="edge"/>
          <c:yMode val="edge"/>
          <c:x val="0.14285714285714293"/>
          <c:y val="0.11838042244822837"/>
          <c:w val="0.79879275653923565"/>
          <c:h val="0.73208945461404396"/>
        </c:manualLayout>
      </c:layout>
      <c:lineChart>
        <c:grouping val="standard"/>
        <c:varyColors val="0"/>
        <c:ser>
          <c:idx val="0"/>
          <c:order val="0"/>
          <c:tx>
            <c:v>Black-76</c:v>
          </c:tx>
          <c:spPr>
            <a:ln>
              <a:solidFill>
                <a:schemeClr val="tx2"/>
              </a:solidFill>
            </a:ln>
          </c:spPr>
          <c:marker>
            <c:symbol val="none"/>
          </c:marker>
          <c:cat>
            <c:numRef>
              <c:f>'12 SABRBlackVol'!$C$27:$BP$27</c:f>
              <c:numCache>
                <c:formatCode>0.00</c:formatCode>
                <c:ptCount val="6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numCache>
            </c:numRef>
          </c:cat>
          <c:val>
            <c:numRef>
              <c:f>'12 SABRBlackVol'!$C$28:$BP$28</c:f>
              <c:numCache>
                <c:formatCode>0.00%</c:formatCode>
                <c:ptCount val="66"/>
                <c:pt idx="0">
                  <c:v>1.855133507539561</c:v>
                </c:pt>
                <c:pt idx="1">
                  <c:v>1.6483011430620822</c:v>
                </c:pt>
                <c:pt idx="2">
                  <c:v>1.5628915814088666</c:v>
                </c:pt>
                <c:pt idx="3">
                  <c:v>1.5712150043733326</c:v>
                </c:pt>
                <c:pt idx="4">
                  <c:v>1.6346167663569944</c:v>
                </c:pt>
                <c:pt idx="5">
                  <c:v>1.7200679873649782</c:v>
                </c:pt>
                <c:pt idx="6">
                  <c:v>1.8103206261368656</c:v>
                </c:pt>
                <c:pt idx="7">
                  <c:v>1.8983381931801753</c:v>
                </c:pt>
                <c:pt idx="8">
                  <c:v>1.9816645492006362</c:v>
                </c:pt>
                <c:pt idx="9">
                  <c:v>2.0596929888488713</c:v>
                </c:pt>
                <c:pt idx="10">
                  <c:v>2.1325335332228845</c:v>
                </c:pt>
                <c:pt idx="11">
                  <c:v>2.2005533889334661</c:v>
                </c:pt>
                <c:pt idx="12">
                  <c:v>2.2641897364724501</c:v>
                </c:pt>
                <c:pt idx="13">
                  <c:v>2.3238744091472867</c:v>
                </c:pt>
                <c:pt idx="14">
                  <c:v>2.3800056110389654</c:v>
                </c:pt>
                <c:pt idx="15">
                  <c:v>2.4329396344082683</c:v>
                </c:pt>
                <c:pt idx="16">
                  <c:v>2.4829909514593944</c:v>
                </c:pt>
                <c:pt idx="17">
                  <c:v>2.5304355746897715</c:v>
                </c:pt>
                <c:pt idx="18">
                  <c:v>2.5755154310902477</c:v>
                </c:pt>
                <c:pt idx="19">
                  <c:v>2.618442774749588</c:v>
                </c:pt>
                <c:pt idx="20">
                  <c:v>2.65940424500607</c:v>
                </c:pt>
                <c:pt idx="21">
                  <c:v>2.6985644424690802</c:v>
                </c:pt>
                <c:pt idx="22">
                  <c:v>2.7360690129908587</c:v>
                </c:pt>
                <c:pt idx="23">
                  <c:v>2.7720472783329555</c:v>
                </c:pt>
                <c:pt idx="24">
                  <c:v>2.8066144687192116</c:v>
                </c:pt>
                <c:pt idx="25">
                  <c:v>2.8398736143005805</c:v>
                </c:pt>
                <c:pt idx="26">
                  <c:v>2.8719171482193611</c:v>
                </c:pt>
                <c:pt idx="27">
                  <c:v>2.9028282674650581</c:v>
                </c:pt>
                <c:pt idx="28">
                  <c:v>2.9326820909150975</c:v>
                </c:pt>
                <c:pt idx="29">
                  <c:v>2.9615466476479373</c:v>
                </c:pt>
                <c:pt idx="30">
                  <c:v>2.989483723090919</c:v>
                </c:pt>
                <c:pt idx="31">
                  <c:v>3.0165495858685589</c:v>
                </c:pt>
                <c:pt idx="32">
                  <c:v>3.0427956142920851</c:v>
                </c:pt>
                <c:pt idx="33">
                  <c:v>3.0682688381825138</c:v>
                </c:pt>
                <c:pt idx="34">
                  <c:v>3.0930124090448436</c:v>
                </c:pt>
                <c:pt idx="35">
                  <c:v>3.1170660094139464</c:v>
                </c:pt>
                <c:pt idx="36">
                  <c:v>3.1404662103887437</c:v>
                </c:pt>
                <c:pt idx="37">
                  <c:v>3.1632467848893842</c:v>
                </c:pt>
                <c:pt idx="38">
                  <c:v>3.1854389829524772</c:v>
                </c:pt>
                <c:pt idx="39">
                  <c:v>3.2070717743739428</c:v>
                </c:pt>
                <c:pt idx="40">
                  <c:v>3.2281720631775728</c:v>
                </c:pt>
                <c:pt idx="41">
                  <c:v>3.2487648776983113</c:v>
                </c:pt>
                <c:pt idx="42">
                  <c:v>3.2688735394964117</c:v>
                </c:pt>
                <c:pt idx="43">
                  <c:v>3.2885198138406859</c:v>
                </c:pt>
                <c:pt idx="44">
                  <c:v>3.3077240440996758</c:v>
                </c:pt>
                <c:pt idx="45">
                  <c:v>3.3265052720440944</c:v>
                </c:pt>
                <c:pt idx="46">
                  <c:v>3.3448813457819395</c:v>
                </c:pt>
                <c:pt idx="47">
                  <c:v>3.3628690168093254</c:v>
                </c:pt>
                <c:pt idx="48">
                  <c:v>3.3804840274585226</c:v>
                </c:pt>
                <c:pt idx="49">
                  <c:v>3.397741189853575</c:v>
                </c:pt>
                <c:pt idx="50">
                  <c:v>3.4146544573377784</c:v>
                </c:pt>
                <c:pt idx="51">
                  <c:v>3.4312369892131578</c:v>
                </c:pt>
                <c:pt idx="52">
                  <c:v>3.4475012095250879</c:v>
                </c:pt>
                <c:pt idx="53">
                  <c:v>3.4634588605340131</c:v>
                </c:pt>
                <c:pt idx="54">
                  <c:v>3.4791210514371342</c:v>
                </c:pt>
                <c:pt idx="55">
                  <c:v>3.4944983028351033</c:v>
                </c:pt>
                <c:pt idx="56">
                  <c:v>3.5096005873798517</c:v>
                </c:pt>
                <c:pt idx="57">
                  <c:v>3.524437366988705</c:v>
                </c:pt>
                <c:pt idx="58">
                  <c:v>3.53901762696553</c:v>
                </c:pt>
                <c:pt idx="59">
                  <c:v>3.5533499073310617</c:v>
                </c:pt>
                <c:pt idx="60">
                  <c:v>3.5674423316308541</c:v>
                </c:pt>
                <c:pt idx="61">
                  <c:v>3.5813026334597251</c:v>
                </c:pt>
                <c:pt idx="62">
                  <c:v>3.5949381809156495</c:v>
                </c:pt>
                <c:pt idx="63">
                  <c:v>3.6083559991734799</c:v>
                </c:pt>
                <c:pt idx="64">
                  <c:v>3.6215627913486479</c:v>
                </c:pt>
                <c:pt idx="65">
                  <c:v>3.6345649578034909</c:v>
                </c:pt>
              </c:numCache>
            </c:numRef>
          </c:val>
          <c:smooth val="0"/>
          <c:extLst>
            <c:ext xmlns:c16="http://schemas.microsoft.com/office/drawing/2014/chart" uri="{C3380CC4-5D6E-409C-BE32-E72D297353CC}">
              <c16:uniqueId val="{00000000-63A1-4331-988C-864AFEE791A6}"/>
            </c:ext>
          </c:extLst>
        </c:ser>
        <c:ser>
          <c:idx val="1"/>
          <c:order val="1"/>
          <c:tx>
            <c:v>ATM Volatility</c:v>
          </c:tx>
          <c:spPr>
            <a:ln>
              <a:solidFill>
                <a:srgbClr val="FFFF00"/>
              </a:solidFill>
            </a:ln>
          </c:spPr>
          <c:marker>
            <c:symbol val="none"/>
          </c:marker>
          <c:cat>
            <c:numRef>
              <c:f>'12 SABRBlackVol'!$C$27:$BP$27</c:f>
              <c:numCache>
                <c:formatCode>0.00</c:formatCode>
                <c:ptCount val="6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numCache>
            </c:numRef>
          </c:cat>
          <c:val>
            <c:numRef>
              <c:f>'12 SABRBlackVol'!$C$72:$BP$72</c:f>
              <c:numCache>
                <c:formatCode>0%</c:formatCode>
                <c:ptCount val="66"/>
                <c:pt idx="0">
                  <c:v>1.56</c:v>
                </c:pt>
                <c:pt idx="1">
                  <c:v>1.56</c:v>
                </c:pt>
                <c:pt idx="2">
                  <c:v>1.56</c:v>
                </c:pt>
                <c:pt idx="3">
                  <c:v>1.56</c:v>
                </c:pt>
                <c:pt idx="4">
                  <c:v>1.56</c:v>
                </c:pt>
                <c:pt idx="5">
                  <c:v>1.56</c:v>
                </c:pt>
                <c:pt idx="6">
                  <c:v>1.56</c:v>
                </c:pt>
                <c:pt idx="7">
                  <c:v>1.56</c:v>
                </c:pt>
                <c:pt idx="8">
                  <c:v>1.56</c:v>
                </c:pt>
                <c:pt idx="9">
                  <c:v>1.56</c:v>
                </c:pt>
                <c:pt idx="10">
                  <c:v>1.56</c:v>
                </c:pt>
                <c:pt idx="11">
                  <c:v>1.56</c:v>
                </c:pt>
                <c:pt idx="12">
                  <c:v>1.56</c:v>
                </c:pt>
                <c:pt idx="13">
                  <c:v>1.56</c:v>
                </c:pt>
                <c:pt idx="14">
                  <c:v>1.56</c:v>
                </c:pt>
                <c:pt idx="15">
                  <c:v>1.56</c:v>
                </c:pt>
                <c:pt idx="16">
                  <c:v>1.56</c:v>
                </c:pt>
                <c:pt idx="17">
                  <c:v>1.56</c:v>
                </c:pt>
                <c:pt idx="18">
                  <c:v>1.56</c:v>
                </c:pt>
                <c:pt idx="19">
                  <c:v>1.56</c:v>
                </c:pt>
                <c:pt idx="20">
                  <c:v>1.56</c:v>
                </c:pt>
                <c:pt idx="21">
                  <c:v>1.56</c:v>
                </c:pt>
                <c:pt idx="22">
                  <c:v>1.56</c:v>
                </c:pt>
                <c:pt idx="23">
                  <c:v>1.56</c:v>
                </c:pt>
                <c:pt idx="24">
                  <c:v>1.56</c:v>
                </c:pt>
                <c:pt idx="25">
                  <c:v>1.56</c:v>
                </c:pt>
                <c:pt idx="26">
                  <c:v>1.56</c:v>
                </c:pt>
                <c:pt idx="27">
                  <c:v>1.56</c:v>
                </c:pt>
                <c:pt idx="28">
                  <c:v>1.56</c:v>
                </c:pt>
                <c:pt idx="29">
                  <c:v>1.56</c:v>
                </c:pt>
                <c:pt idx="30">
                  <c:v>1.56</c:v>
                </c:pt>
                <c:pt idx="31">
                  <c:v>1.56</c:v>
                </c:pt>
                <c:pt idx="32">
                  <c:v>1.56</c:v>
                </c:pt>
                <c:pt idx="33">
                  <c:v>1.56</c:v>
                </c:pt>
                <c:pt idx="34">
                  <c:v>1.56</c:v>
                </c:pt>
                <c:pt idx="35">
                  <c:v>1.56</c:v>
                </c:pt>
                <c:pt idx="36">
                  <c:v>1.56</c:v>
                </c:pt>
                <c:pt idx="37">
                  <c:v>1.56</c:v>
                </c:pt>
                <c:pt idx="38">
                  <c:v>1.56</c:v>
                </c:pt>
                <c:pt idx="39">
                  <c:v>1.56</c:v>
                </c:pt>
                <c:pt idx="40">
                  <c:v>1.56</c:v>
                </c:pt>
                <c:pt idx="41">
                  <c:v>1.56</c:v>
                </c:pt>
                <c:pt idx="42">
                  <c:v>1.56</c:v>
                </c:pt>
                <c:pt idx="43">
                  <c:v>1.56</c:v>
                </c:pt>
                <c:pt idx="44">
                  <c:v>1.56</c:v>
                </c:pt>
                <c:pt idx="45">
                  <c:v>1.56</c:v>
                </c:pt>
                <c:pt idx="46">
                  <c:v>1.56</c:v>
                </c:pt>
                <c:pt idx="47">
                  <c:v>1.56</c:v>
                </c:pt>
                <c:pt idx="48">
                  <c:v>1.56</c:v>
                </c:pt>
                <c:pt idx="49">
                  <c:v>1.56</c:v>
                </c:pt>
                <c:pt idx="50">
                  <c:v>1.56</c:v>
                </c:pt>
                <c:pt idx="51">
                  <c:v>1.56</c:v>
                </c:pt>
                <c:pt idx="52">
                  <c:v>1.56</c:v>
                </c:pt>
                <c:pt idx="53">
                  <c:v>1.56</c:v>
                </c:pt>
                <c:pt idx="54">
                  <c:v>1.56</c:v>
                </c:pt>
                <c:pt idx="55">
                  <c:v>1.56</c:v>
                </c:pt>
                <c:pt idx="56">
                  <c:v>1.56</c:v>
                </c:pt>
                <c:pt idx="57">
                  <c:v>1.56</c:v>
                </c:pt>
                <c:pt idx="58">
                  <c:v>1.56</c:v>
                </c:pt>
                <c:pt idx="59">
                  <c:v>1.56</c:v>
                </c:pt>
                <c:pt idx="60">
                  <c:v>1.56</c:v>
                </c:pt>
                <c:pt idx="61">
                  <c:v>1.56</c:v>
                </c:pt>
                <c:pt idx="62">
                  <c:v>1.56</c:v>
                </c:pt>
                <c:pt idx="63">
                  <c:v>1.56</c:v>
                </c:pt>
                <c:pt idx="64">
                  <c:v>1.56</c:v>
                </c:pt>
                <c:pt idx="65">
                  <c:v>1.56</c:v>
                </c:pt>
              </c:numCache>
            </c:numRef>
          </c:val>
          <c:smooth val="0"/>
          <c:extLst>
            <c:ext xmlns:c16="http://schemas.microsoft.com/office/drawing/2014/chart" uri="{C3380CC4-5D6E-409C-BE32-E72D297353CC}">
              <c16:uniqueId val="{00000001-63A1-4331-988C-864AFEE791A6}"/>
            </c:ext>
          </c:extLst>
        </c:ser>
        <c:dLbls>
          <c:showLegendKey val="0"/>
          <c:showVal val="0"/>
          <c:showCatName val="0"/>
          <c:showSerName val="0"/>
          <c:showPercent val="0"/>
          <c:showBubbleSize val="0"/>
        </c:dLbls>
        <c:smooth val="0"/>
        <c:axId val="152160591"/>
        <c:axId val="1"/>
      </c:lineChart>
      <c:catAx>
        <c:axId val="152160591"/>
        <c:scaling>
          <c:orientation val="minMax"/>
        </c:scaling>
        <c:delete val="0"/>
        <c:axPos val="b"/>
        <c:majorGridlines>
          <c:spPr>
            <a:ln>
              <a:solidFill>
                <a:srgbClr val="969696"/>
              </a:solidFill>
            </a:ln>
          </c:spPr>
        </c:majorGridlines>
        <c:title>
          <c:tx>
            <c:rich>
              <a:bodyPr/>
              <a:lstStyle/>
              <a:p>
                <a:pPr>
                  <a:defRPr sz="1000" b="1" i="0" u="none" strike="noStrike" baseline="0">
                    <a:solidFill>
                      <a:srgbClr val="000080"/>
                    </a:solidFill>
                    <a:latin typeface="Arial"/>
                    <a:ea typeface="Arial"/>
                    <a:cs typeface="Arial"/>
                  </a:defRPr>
                </a:pPr>
                <a:r>
                  <a:rPr lang="en-US"/>
                  <a:t>Strike</a:t>
                </a:r>
              </a:p>
            </c:rich>
          </c:tx>
          <c:layout>
            <c:manualLayout>
              <c:xMode val="edge"/>
              <c:yMode val="edge"/>
              <c:x val="0.50100607121079566"/>
              <c:y val="0.9158906104478875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2"/>
        <c:tickMarkSkip val="1"/>
        <c:noMultiLvlLbl val="0"/>
      </c:catAx>
      <c:valAx>
        <c:axId val="1"/>
        <c:scaling>
          <c:orientation val="minMax"/>
          <c:min val="0.36000000000000004"/>
        </c:scaling>
        <c:delete val="0"/>
        <c:axPos val="l"/>
        <c:majorGridlines>
          <c:spPr>
            <a:ln w="3175">
              <a:solidFill>
                <a:srgbClr val="969696"/>
              </a:solidFill>
              <a:prstDash val="solid"/>
            </a:ln>
          </c:spPr>
        </c:majorGridlines>
        <c:title>
          <c:tx>
            <c:rich>
              <a:bodyPr/>
              <a:lstStyle/>
              <a:p>
                <a:pPr>
                  <a:defRPr sz="1000" b="1" i="0" u="none" strike="noStrike" baseline="0">
                    <a:solidFill>
                      <a:srgbClr val="000080"/>
                    </a:solidFill>
                    <a:latin typeface="Arial"/>
                    <a:ea typeface="Arial"/>
                    <a:cs typeface="Arial"/>
                  </a:defRPr>
                </a:pPr>
                <a:r>
                  <a:rPr lang="en-US"/>
                  <a:t>Volatility</a:t>
                </a:r>
              </a:p>
            </c:rich>
          </c:tx>
          <c:layout>
            <c:manualLayout>
              <c:xMode val="edge"/>
              <c:yMode val="edge"/>
              <c:x val="3.2193218271958431E-2"/>
              <c:y val="0.3894095334857336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52160591"/>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CC"/>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80"/>
                </a:solidFill>
                <a:latin typeface="Calibri"/>
                <a:ea typeface="Calibri"/>
                <a:cs typeface="Calibri"/>
              </a:defRPr>
            </a:pPr>
            <a:r>
              <a:rPr lang="en-US"/>
              <a:t>Market IV  vs SABR Calibrated Volatility</a:t>
            </a:r>
          </a:p>
        </c:rich>
      </c:tx>
      <c:layout>
        <c:manualLayout>
          <c:xMode val="edge"/>
          <c:yMode val="edge"/>
          <c:x val="0.26716315915056077"/>
          <c:y val="2.8333412868845942E-2"/>
        </c:manualLayout>
      </c:layout>
      <c:overlay val="0"/>
    </c:title>
    <c:autoTitleDeleted val="0"/>
    <c:plotArea>
      <c:layout>
        <c:manualLayout>
          <c:layoutTarget val="inner"/>
          <c:xMode val="edge"/>
          <c:yMode val="edge"/>
          <c:x val="0.12544663167104111"/>
          <c:y val="0.1195392598338819"/>
          <c:w val="0.84372003499562553"/>
          <c:h val="0.69429002051537347"/>
        </c:manualLayout>
      </c:layout>
      <c:lineChart>
        <c:grouping val="standard"/>
        <c:varyColors val="0"/>
        <c:ser>
          <c:idx val="0"/>
          <c:order val="0"/>
          <c:tx>
            <c:v>Market Volatility</c:v>
          </c:tx>
          <c:spPr>
            <a:ln w="25400">
              <a:solidFill>
                <a:schemeClr val="tx2"/>
              </a:solidFill>
            </a:ln>
          </c:spPr>
          <c:marker>
            <c:symbol val="none"/>
          </c:marker>
          <c:cat>
            <c:numRef>
              <c:f>'14 SABRCalibrate'!$B$29:$B$72</c:f>
              <c:numCache>
                <c:formatCode>0.00</c:formatCode>
                <c:ptCount val="44"/>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numCache>
            </c:numRef>
          </c:cat>
          <c:val>
            <c:numRef>
              <c:f>'14 SABRCalibrate'!$C$29:$C$72</c:f>
              <c:numCache>
                <c:formatCode>0.0%</c:formatCode>
                <c:ptCount val="44"/>
                <c:pt idx="0">
                  <c:v>1.8398526023481543</c:v>
                </c:pt>
                <c:pt idx="1">
                  <c:v>1.6293863244643434</c:v>
                </c:pt>
                <c:pt idx="2">
                  <c:v>1.5622832735265448</c:v>
                </c:pt>
                <c:pt idx="3">
                  <c:v>1.5167411048286779</c:v>
                </c:pt>
                <c:pt idx="4">
                  <c:v>1.5694606306932111</c:v>
                </c:pt>
                <c:pt idx="5">
                  <c:v>1.6706674331153575</c:v>
                </c:pt>
                <c:pt idx="6">
                  <c:v>1.7858209804129861</c:v>
                </c:pt>
                <c:pt idx="7">
                  <c:v>1.8552741875819401</c:v>
                </c:pt>
                <c:pt idx="8">
                  <c:v>1.9623790530883933</c:v>
                </c:pt>
                <c:pt idx="9">
                  <c:v>2.0638675176271182</c:v>
                </c:pt>
                <c:pt idx="10">
                  <c:v>2.1009791282799037</c:v>
                </c:pt>
                <c:pt idx="11">
                  <c:v>2.2013888415855472</c:v>
                </c:pt>
                <c:pt idx="12">
                  <c:v>2.2733617468133551</c:v>
                </c:pt>
                <c:pt idx="13">
                  <c:v>2.3292902106623168</c:v>
                </c:pt>
                <c:pt idx="14">
                  <c:v>2.41929217926076</c:v>
                </c:pt>
                <c:pt idx="15">
                  <c:v>2.4452560130816212</c:v>
                </c:pt>
                <c:pt idx="16">
                  <c:v>2.4841924598676566</c:v>
                </c:pt>
                <c:pt idx="17">
                  <c:v>2.5351885371555145</c:v>
                </c:pt>
                <c:pt idx="18">
                  <c:v>2.6113066843516299</c:v>
                </c:pt>
                <c:pt idx="19">
                  <c:v>2.6570230894981339</c:v>
                </c:pt>
                <c:pt idx="20">
                  <c:v>2.6742397000919071</c:v>
                </c:pt>
                <c:pt idx="21">
                  <c:v>2.75557269736407</c:v>
                </c:pt>
                <c:pt idx="22">
                  <c:v>2.7567501253031463</c:v>
                </c:pt>
                <c:pt idx="23">
                  <c:v>2.817970837629352</c:v>
                </c:pt>
                <c:pt idx="24">
                  <c:v>2.8570159556149468</c:v>
                </c:pt>
                <c:pt idx="25">
                  <c:v>2.8353596349719745</c:v>
                </c:pt>
                <c:pt idx="26">
                  <c:v>2.8922513472410065</c:v>
                </c:pt>
                <c:pt idx="27">
                  <c:v>2.9089993475215157</c:v>
                </c:pt>
                <c:pt idx="28">
                  <c:v>2.944132908545837</c:v>
                </c:pt>
                <c:pt idx="29">
                  <c:v>2.9595570336565813</c:v>
                </c:pt>
                <c:pt idx="30">
                  <c:v>2.9378018460498572</c:v>
                </c:pt>
                <c:pt idx="31">
                  <c:v>2.9528304819306896</c:v>
                </c:pt>
                <c:pt idx="32">
                  <c:v>3.0210056941814534</c:v>
                </c:pt>
                <c:pt idx="33">
                  <c:v>3.0344497003022202</c:v>
                </c:pt>
                <c:pt idx="34">
                  <c:v>3.0127060101620882</c:v>
                </c:pt>
                <c:pt idx="35">
                  <c:v>3.0430328029707532</c:v>
                </c:pt>
                <c:pt idx="36">
                  <c:v>3.0726049316545709</c:v>
                </c:pt>
                <c:pt idx="37">
                  <c:v>3.1014594763403198</c:v>
                </c:pt>
                <c:pt idx="38">
                  <c:v>3.1129924274087961</c:v>
                </c:pt>
                <c:pt idx="39">
                  <c:v>3.9679728941274099</c:v>
                </c:pt>
                <c:pt idx="40">
                  <c:v>3.0227985919288636</c:v>
                </c:pt>
                <c:pt idx="41">
                  <c:v>3.2265562521321063</c:v>
                </c:pt>
                <c:pt idx="42">
                  <c:v>3.2078573395363792</c:v>
                </c:pt>
                <c:pt idx="43">
                  <c:v>3.1155215439269566</c:v>
                </c:pt>
              </c:numCache>
            </c:numRef>
          </c:val>
          <c:smooth val="0"/>
          <c:extLst>
            <c:ext xmlns:c16="http://schemas.microsoft.com/office/drawing/2014/chart" uri="{C3380CC4-5D6E-409C-BE32-E72D297353CC}">
              <c16:uniqueId val="{00000000-163E-4875-A61C-979874C5332D}"/>
            </c:ext>
          </c:extLst>
        </c:ser>
        <c:ser>
          <c:idx val="1"/>
          <c:order val="1"/>
          <c:tx>
            <c:v>SABR Calibration</c:v>
          </c:tx>
          <c:spPr>
            <a:ln w="25400">
              <a:solidFill>
                <a:srgbClr val="FFFF00"/>
              </a:solidFill>
            </a:ln>
          </c:spPr>
          <c:marker>
            <c:symbol val="none"/>
          </c:marker>
          <c:cat>
            <c:numRef>
              <c:f>'14 SABRCalibrate'!$B$29:$B$72</c:f>
              <c:numCache>
                <c:formatCode>0.00</c:formatCode>
                <c:ptCount val="44"/>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numCache>
            </c:numRef>
          </c:cat>
          <c:val>
            <c:numRef>
              <c:f>'14 SABRCalibrate'!$D$29:$D$72</c:f>
              <c:numCache>
                <c:formatCode>0.0%</c:formatCode>
                <c:ptCount val="44"/>
                <c:pt idx="0">
                  <c:v>1.855133507539561</c:v>
                </c:pt>
                <c:pt idx="1">
                  <c:v>1.6483011430620822</c:v>
                </c:pt>
                <c:pt idx="2">
                  <c:v>1.5628915814088666</c:v>
                </c:pt>
                <c:pt idx="3">
                  <c:v>1.5712150043733326</c:v>
                </c:pt>
                <c:pt idx="4">
                  <c:v>1.6346167663569944</c:v>
                </c:pt>
                <c:pt idx="5">
                  <c:v>1.7200679873649782</c:v>
                </c:pt>
                <c:pt idx="6">
                  <c:v>1.8103206261368656</c:v>
                </c:pt>
                <c:pt idx="7">
                  <c:v>1.8983381931801753</c:v>
                </c:pt>
                <c:pt idx="8">
                  <c:v>1.9816645492006362</c:v>
                </c:pt>
                <c:pt idx="9">
                  <c:v>2.0596929888488713</c:v>
                </c:pt>
                <c:pt idx="10">
                  <c:v>2.1325335332228845</c:v>
                </c:pt>
                <c:pt idx="11">
                  <c:v>2.2005533889334661</c:v>
                </c:pt>
                <c:pt idx="12">
                  <c:v>2.2641897364724501</c:v>
                </c:pt>
                <c:pt idx="13">
                  <c:v>2.3238744091472867</c:v>
                </c:pt>
                <c:pt idx="14">
                  <c:v>2.3800056110389654</c:v>
                </c:pt>
                <c:pt idx="15">
                  <c:v>2.4329396344082683</c:v>
                </c:pt>
                <c:pt idx="16">
                  <c:v>2.4829909514593944</c:v>
                </c:pt>
                <c:pt idx="17">
                  <c:v>2.5304355746897715</c:v>
                </c:pt>
                <c:pt idx="18">
                  <c:v>2.5755154310902477</c:v>
                </c:pt>
                <c:pt idx="19">
                  <c:v>2.618442774749588</c:v>
                </c:pt>
                <c:pt idx="20">
                  <c:v>2.65940424500607</c:v>
                </c:pt>
                <c:pt idx="21">
                  <c:v>2.6985644424690802</c:v>
                </c:pt>
                <c:pt idx="22">
                  <c:v>2.7360690129908587</c:v>
                </c:pt>
                <c:pt idx="23">
                  <c:v>2.7720472783329555</c:v>
                </c:pt>
                <c:pt idx="24">
                  <c:v>2.8066144687192116</c:v>
                </c:pt>
                <c:pt idx="25">
                  <c:v>2.8398736143005805</c:v>
                </c:pt>
                <c:pt idx="26">
                  <c:v>2.8719171482193611</c:v>
                </c:pt>
                <c:pt idx="27">
                  <c:v>2.9028282674650581</c:v>
                </c:pt>
                <c:pt idx="28">
                  <c:v>2.9326820909150975</c:v>
                </c:pt>
                <c:pt idx="29">
                  <c:v>2.9615466476479373</c:v>
                </c:pt>
                <c:pt idx="30">
                  <c:v>2.989483723090919</c:v>
                </c:pt>
                <c:pt idx="31">
                  <c:v>3.0165495858685589</c:v>
                </c:pt>
                <c:pt idx="32">
                  <c:v>3.0427956142920851</c:v>
                </c:pt>
                <c:pt idx="33">
                  <c:v>3.0682688381825138</c:v>
                </c:pt>
                <c:pt idx="34">
                  <c:v>3.0930124090448436</c:v>
                </c:pt>
                <c:pt idx="35">
                  <c:v>3.1170660094139464</c:v>
                </c:pt>
                <c:pt idx="36">
                  <c:v>3.1404662103887437</c:v>
                </c:pt>
                <c:pt idx="37">
                  <c:v>3.1632467848893842</c:v>
                </c:pt>
                <c:pt idx="38">
                  <c:v>3.1854389829524772</c:v>
                </c:pt>
                <c:pt idx="39">
                  <c:v>3.2070717743739428</c:v>
                </c:pt>
                <c:pt idx="40">
                  <c:v>3.2281720631775728</c:v>
                </c:pt>
                <c:pt idx="41">
                  <c:v>3.2487648776983113</c:v>
                </c:pt>
                <c:pt idx="42">
                  <c:v>3.2688735394964117</c:v>
                </c:pt>
                <c:pt idx="43">
                  <c:v>3.2885198138406859</c:v>
                </c:pt>
              </c:numCache>
            </c:numRef>
          </c:val>
          <c:smooth val="0"/>
          <c:extLst>
            <c:ext xmlns:c16="http://schemas.microsoft.com/office/drawing/2014/chart" uri="{C3380CC4-5D6E-409C-BE32-E72D297353CC}">
              <c16:uniqueId val="{00000001-163E-4875-A61C-979874C5332D}"/>
            </c:ext>
          </c:extLst>
        </c:ser>
        <c:dLbls>
          <c:showLegendKey val="0"/>
          <c:showVal val="0"/>
          <c:showCatName val="0"/>
          <c:showSerName val="0"/>
          <c:showPercent val="0"/>
          <c:showBubbleSize val="0"/>
        </c:dLbls>
        <c:smooth val="0"/>
        <c:axId val="152167247"/>
        <c:axId val="1"/>
      </c:lineChart>
      <c:catAx>
        <c:axId val="152167247"/>
        <c:scaling>
          <c:orientation val="minMax"/>
        </c:scaling>
        <c:delete val="0"/>
        <c:axPos val="b"/>
        <c:majorGridlines/>
        <c:title>
          <c:tx>
            <c:rich>
              <a:bodyPr/>
              <a:lstStyle/>
              <a:p>
                <a:pPr>
                  <a:defRPr sz="1000" b="1" i="0" u="none" strike="noStrike" baseline="0">
                    <a:solidFill>
                      <a:srgbClr val="000080"/>
                    </a:solidFill>
                    <a:latin typeface="Calibri"/>
                    <a:ea typeface="Calibri"/>
                    <a:cs typeface="Calibri"/>
                  </a:defRPr>
                </a:pPr>
                <a:r>
                  <a:rPr lang="en-US"/>
                  <a:t>Strikes</a:t>
                </a:r>
              </a:p>
            </c:rich>
          </c:tx>
          <c:overlay val="0"/>
        </c:title>
        <c:numFmt formatCode="0" sourceLinked="0"/>
        <c:majorTickMark val="out"/>
        <c:minorTickMark val="none"/>
        <c:tickLblPos val="nextTo"/>
        <c:txPr>
          <a:bodyPr rot="-5400000" vert="horz"/>
          <a:lstStyle/>
          <a:p>
            <a:pPr>
              <a:defRPr/>
            </a:pPr>
            <a:endParaRPr lang="en-US"/>
          </a:p>
        </c:txPr>
        <c:crossAx val="1"/>
        <c:crosses val="autoZero"/>
        <c:auto val="1"/>
        <c:lblAlgn val="ctr"/>
        <c:lblOffset val="100"/>
        <c:tickMarkSkip val="10"/>
        <c:noMultiLvlLbl val="0"/>
      </c:catAx>
      <c:valAx>
        <c:axId val="1"/>
        <c:scaling>
          <c:orientation val="minMax"/>
        </c:scaling>
        <c:delete val="0"/>
        <c:axPos val="l"/>
        <c:majorGridlines>
          <c:spPr>
            <a:ln>
              <a:solidFill>
                <a:srgbClr val="969696"/>
              </a:solidFill>
            </a:ln>
          </c:spPr>
        </c:majorGridlines>
        <c:title>
          <c:tx>
            <c:rich>
              <a:bodyPr/>
              <a:lstStyle/>
              <a:p>
                <a:pPr>
                  <a:defRPr sz="1000" b="1" i="0" u="none" strike="noStrike" baseline="0">
                    <a:solidFill>
                      <a:srgbClr val="000080"/>
                    </a:solidFill>
                    <a:latin typeface="Calibri"/>
                    <a:ea typeface="Calibri"/>
                    <a:cs typeface="Calibri"/>
                  </a:defRPr>
                </a:pPr>
                <a:r>
                  <a:rPr lang="en-US"/>
                  <a:t>Volatility</a:t>
                </a:r>
              </a:p>
            </c:rich>
          </c:tx>
          <c:layout>
            <c:manualLayout>
              <c:xMode val="edge"/>
              <c:yMode val="edge"/>
              <c:x val="2.2472918157957528E-3"/>
              <c:y val="0.38834263898830829"/>
            </c:manualLayout>
          </c:layout>
          <c:overlay val="0"/>
        </c:title>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2167247"/>
        <c:crosses val="autoZero"/>
        <c:crossBetween val="between"/>
      </c:valAx>
      <c:spPr>
        <a:solidFill>
          <a:schemeClr val="bg2"/>
        </a:solidFill>
      </c:spPr>
    </c:plotArea>
    <c:legend>
      <c:legendPos val="r"/>
      <c:layout>
        <c:manualLayout>
          <c:xMode val="edge"/>
          <c:yMode val="edge"/>
          <c:x val="0.18216481566365952"/>
          <c:y val="0.12857851153376337"/>
          <c:w val="0.23154124230190368"/>
          <c:h val="0.1340950835032593"/>
        </c:manualLayout>
      </c:layout>
      <c:overlay val="0"/>
      <c:spPr>
        <a:solidFill>
          <a:srgbClr val="969696"/>
        </a:solidFill>
        <a:ln>
          <a:solidFill>
            <a:schemeClr val="tx1"/>
          </a:solidFill>
        </a:ln>
      </c:spPr>
      <c:txPr>
        <a:bodyPr/>
        <a:lstStyle/>
        <a:p>
          <a:pPr>
            <a:defRPr sz="54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accent1"/>
    </a:solidFill>
    <a:ln w="12700">
      <a:solidFill>
        <a:schemeClr val="tx1"/>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4</xdr:col>
      <xdr:colOff>99060</xdr:colOff>
      <xdr:row>9</xdr:row>
      <xdr:rowOff>22860</xdr:rowOff>
    </xdr:from>
    <xdr:to>
      <xdr:col>13</xdr:col>
      <xdr:colOff>259080</xdr:colOff>
      <xdr:row>28</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36</xdr:row>
      <xdr:rowOff>28575</xdr:rowOff>
    </xdr:from>
    <xdr:to>
      <xdr:col>8</xdr:col>
      <xdr:colOff>57150</xdr:colOff>
      <xdr:row>43</xdr:row>
      <xdr:rowOff>93344</xdr:rowOff>
    </xdr:to>
    <xdr:sp macro="" textlink="">
      <xdr:nvSpPr>
        <xdr:cNvPr id="3" name="Text Box 3">
          <a:extLst>
            <a:ext uri="{FF2B5EF4-FFF2-40B4-BE49-F238E27FC236}">
              <a16:creationId xmlns:a16="http://schemas.microsoft.com/office/drawing/2014/main" id="{00000000-0008-0000-0100-000003000000}"/>
            </a:ext>
          </a:extLst>
        </xdr:cNvPr>
        <xdr:cNvSpPr txBox="1">
          <a:spLocks noChangeArrowheads="1"/>
        </xdr:cNvSpPr>
      </xdr:nvSpPr>
      <xdr:spPr bwMode="auto">
        <a:xfrm>
          <a:off x="99060" y="6094095"/>
          <a:ext cx="5269230" cy="1238249"/>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n-AU" sz="1000" b="1" i="0" strike="noStrike">
              <a:solidFill>
                <a:srgbClr val="008000"/>
              </a:solidFill>
              <a:latin typeface="Arial"/>
              <a:cs typeface="Arial"/>
            </a:rPr>
            <a:t>Notes:</a:t>
          </a:r>
          <a:endParaRPr lang="en-AU" sz="1000" b="0" i="0" strike="noStrike">
            <a:solidFill>
              <a:srgbClr val="000000"/>
            </a:solidFill>
            <a:latin typeface="Arial"/>
            <a:cs typeface="Arial"/>
          </a:endParaRPr>
        </a:p>
        <a:p>
          <a:pPr algn="l" rtl="1">
            <a:defRPr sz="1000"/>
          </a:pPr>
          <a:r>
            <a:rPr lang="en-AU" sz="1000" b="0" i="0" strike="noStrike">
              <a:solidFill>
                <a:srgbClr val="000000"/>
              </a:solidFill>
              <a:latin typeface="Arial"/>
              <a:cs typeface="Arial"/>
            </a:rPr>
            <a:t>1. The non-log normal and log normal prices are shown above for interest only.  They are not used in calculating the volatility smile.</a:t>
          </a:r>
        </a:p>
        <a:p>
          <a:pPr algn="l" rtl="1">
            <a:defRPr sz="1000"/>
          </a:pPr>
          <a:endParaRPr lang="en-AU" sz="1000" b="0" i="0" strike="noStrike">
            <a:solidFill>
              <a:srgbClr val="000000"/>
            </a:solidFill>
            <a:latin typeface="Arial"/>
            <a:cs typeface="Arial"/>
          </a:endParaRPr>
        </a:p>
        <a:p>
          <a:pPr algn="l" rtl="1">
            <a:defRPr sz="1000"/>
          </a:pPr>
          <a:r>
            <a:rPr lang="en-AU" sz="1000" b="0" i="0" strike="noStrike">
              <a:solidFill>
                <a:srgbClr val="000000"/>
              </a:solidFill>
              <a:latin typeface="Arial"/>
              <a:cs typeface="Arial"/>
            </a:rPr>
            <a:t>2. You can use Excel solver to simultaneously calculate the "true" volatility, skewness and kurtosis from observed market option prices by minimizing the sum of the squares of the differences between the non-log normal prices and the market prices.</a:t>
          </a:r>
        </a:p>
      </xdr:txBody>
    </xdr:sp>
    <xdr:clientData/>
  </xdr:twoCellAnchor>
  <mc:AlternateContent xmlns:mc="http://schemas.openxmlformats.org/markup-compatibility/2006">
    <mc:Choice xmlns:a14="http://schemas.microsoft.com/office/drawing/2010/main" Requires="a14">
      <xdr:twoCellAnchor editAs="oneCell">
        <xdr:from>
          <xdr:col>1</xdr:col>
          <xdr:colOff>38100</xdr:colOff>
          <xdr:row>4</xdr:row>
          <xdr:rowOff>139700</xdr:rowOff>
        </xdr:from>
        <xdr:to>
          <xdr:col>1</xdr:col>
          <xdr:colOff>1073150</xdr:colOff>
          <xdr:row>6</xdr:row>
          <xdr:rowOff>120650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1</xdr:row>
          <xdr:rowOff>0</xdr:rowOff>
        </xdr:from>
        <xdr:to>
          <xdr:col>1</xdr:col>
          <xdr:colOff>1060450</xdr:colOff>
          <xdr:row>2</xdr:row>
          <xdr:rowOff>152400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68578</xdr:colOff>
      <xdr:row>1</xdr:row>
      <xdr:rowOff>98611</xdr:rowOff>
    </xdr:from>
    <xdr:to>
      <xdr:col>26</xdr:col>
      <xdr:colOff>466165</xdr:colOff>
      <xdr:row>21</xdr:row>
      <xdr:rowOff>152400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1</xdr:row>
          <xdr:rowOff>0</xdr:rowOff>
        </xdr:from>
        <xdr:to>
          <xdr:col>1</xdr:col>
          <xdr:colOff>1073150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0</xdr:rowOff>
        </xdr:from>
        <xdr:to>
          <xdr:col>1</xdr:col>
          <xdr:colOff>1073150</xdr:colOff>
          <xdr:row>1</xdr:row>
          <xdr:rowOff>152400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20</xdr:col>
      <xdr:colOff>316454</xdr:colOff>
      <xdr:row>4</xdr:row>
      <xdr:rowOff>8965</xdr:rowOff>
    </xdr:from>
    <xdr:to>
      <xdr:col>29</xdr:col>
      <xdr:colOff>68580</xdr:colOff>
      <xdr:row>23</xdr:row>
      <xdr:rowOff>97118</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0</xdr:row>
          <xdr:rowOff>0</xdr:rowOff>
        </xdr:from>
        <xdr:to>
          <xdr:col>2</xdr:col>
          <xdr:colOff>571500</xdr:colOff>
          <xdr:row>1</xdr:row>
          <xdr:rowOff>152400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Program%20Files%20(x86)/HoadleyOptions/Samples%20and%20Instructions.xls"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Program%20Files%20(x86)/HoadleyOptions/HoadleyOptions.xla" TargetMode="External"/><Relationship Id="rId2" Type="http://schemas.openxmlformats.org/officeDocument/2006/relationships/externalLinkPath" Target="file:///C:\Program%20Files%20(x86)\HoadleyOptions\HoadleyOptions.xla" TargetMode="External"/><Relationship Id="rId1" Type="http://schemas.openxmlformats.org/officeDocument/2006/relationships/externalLinkPath" Target="/Program%20Files%20(x86)/HoadleyOptions/HoadleyOptions.xla"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Program%20Files%20(x86)/HoadleyOptions/HoadleyOptions.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1 Options1"/>
      <sheetName val="2 Options2"/>
      <sheetName val="3 ImpliedVolatility1"/>
      <sheetName val="4 ImpliedVolatility2"/>
      <sheetName val="5 PercentToTarget1"/>
      <sheetName val="6 PercentToTarget2"/>
      <sheetName val="7 Imply1"/>
      <sheetName val="8 Imply2"/>
      <sheetName val="9 BinomialTS"/>
      <sheetName val="10 TrinomialTS"/>
      <sheetName val="11 OptionsNLN"/>
      <sheetName val="12 SABRBlackVol"/>
      <sheetName val="13 SABROption"/>
      <sheetName val="14 SABRCalibrate"/>
      <sheetName val="15 Early Exercise"/>
      <sheetName val="16 Barrier1"/>
      <sheetName val="17 Barrier2"/>
      <sheetName val="18 ParisianBarrier"/>
      <sheetName val="19 BasketOption"/>
      <sheetName val="20 BasketSim"/>
      <sheetName val="21 DelayedStart"/>
      <sheetName val="22 SpreadOption"/>
      <sheetName val="23 CompoundOption"/>
      <sheetName val="24 AsianA"/>
      <sheetName val="25 AsianB"/>
      <sheetName val="26 QuantoOption"/>
      <sheetName val="27 QuantoBarrier1"/>
      <sheetName val="28 QuantoAsianA"/>
      <sheetName val="29 QuantoAsianB"/>
      <sheetName val="30 BinCN"/>
      <sheetName val="31 BinAN"/>
      <sheetName val="32 Bin1CN"/>
      <sheetName val="33 Bin1AN"/>
      <sheetName val="34 Bin1CNCP"/>
      <sheetName val="35 Bin1ANCP"/>
      <sheetName val="36 Bin2CN"/>
      <sheetName val="37 Bin2AN"/>
      <sheetName val="38 Bin2CNCP"/>
      <sheetName val="39 Accumulator"/>
      <sheetName val="40 Bond "/>
      <sheetName val="41 BondImmunize"/>
      <sheetName val="42 FRNote"/>
      <sheetName val="43 SwapIR"/>
      <sheetName val="44 SwapFX"/>
      <sheetName val="45 ConvBond"/>
      <sheetName val="46 BondOptBlk"/>
      <sheetName val="47 BondOptHW"/>
      <sheetName val="48 CapFloorBlk"/>
      <sheetName val="49 CapFloorHW"/>
      <sheetName val="50 SwaptionBlk"/>
      <sheetName val="51 SwaptionHW"/>
      <sheetName val="52 Eurodollar"/>
      <sheetName val="53 ESO1"/>
      <sheetName val="54 ESO2"/>
      <sheetName val="55 ESO3"/>
      <sheetName val="56 ESO4"/>
      <sheetName val="57 ESO5"/>
      <sheetName val="58 ESOVestTime"/>
      <sheetName val="59 ESO3Indexed"/>
      <sheetName val="60 ESO4Indexed"/>
      <sheetName val="61 ESO4ForwardStart"/>
      <sheetName val="62 RSBuyBack"/>
      <sheetName val="63 MSU1"/>
      <sheetName val="64 ESOHybrid"/>
      <sheetName val="65 HistoricVolatility"/>
      <sheetName val="66 GARCH"/>
      <sheetName val="67 GARCHArray"/>
      <sheetName val="68 VolatilityCone"/>
      <sheetName val="69 Correl"/>
      <sheetName val="70 CorrelFromReturns"/>
      <sheetName val="71 CorrelEWMA"/>
      <sheetName val="72 CorrelStambaugh"/>
      <sheetName val="73 PricesStambaugh"/>
      <sheetName val="74 ReturnsStambaugh"/>
      <sheetName val="75 CorrelSpearman"/>
      <sheetName val="76 CorrelKendall"/>
      <sheetName val="77 ReturnsJorion"/>
      <sheetName val="78 CorrelJorion"/>
      <sheetName val="79 CorrelLedoitWolf"/>
      <sheetName val="80 CorrelHistory"/>
      <sheetName val="81 CoVar"/>
      <sheetName val="82 CovarEWMA"/>
      <sheetName val="83 CorrToCovar"/>
      <sheetName val="84 CovarToCorr"/>
      <sheetName val="85 OEWMA1"/>
      <sheetName val="86 OEWMA2"/>
      <sheetName val="87 OGARCH1"/>
      <sheetName val="88 OGARCH2"/>
      <sheetName val="89 PriceDist"/>
      <sheetName val="90 AutoCorrel"/>
      <sheetName val="91 MLR"/>
      <sheetName val="92 PLR"/>
      <sheetName val="93 MLRCheck"/>
      <sheetName val="94 PCR"/>
      <sheetName val="95 EngleGranger"/>
      <sheetName val="96 ReturnFromPrices"/>
      <sheetName val="97 ReturnFromReturns"/>
      <sheetName val="98  ProbAtEnd"/>
      <sheetName val="99 SpotAtEnd"/>
      <sheetName val="100 ProbAnyTime1"/>
      <sheetName val="101 ProbAnyTime1T"/>
      <sheetName val="102 SpotAnyTime"/>
      <sheetName val="103 ProbAnyTime2"/>
      <sheetName val="104 ProbAnyTime2T"/>
      <sheetName val="105 ProbDist"/>
      <sheetName val="106 Monte Carlo"/>
      <sheetName val="107 Hedge"/>
      <sheetName val="108 HedgeOptimize"/>
      <sheetName val="109 OBPI"/>
      <sheetName val="110 CPPI"/>
      <sheetName val="111 CPPIOnePath"/>
      <sheetName val="112 PLExpiry"/>
      <sheetName val="113 PLIfClose"/>
      <sheetName val="114 PLUnderlying"/>
      <sheetName val="115 FuturesPrice"/>
      <sheetName val="116 FuturesConVal"/>
      <sheetName val="117 VarianceSwap1"/>
      <sheetName val="118 VarianceSwap2"/>
      <sheetName val="119 CorrelSim"/>
      <sheetName val="120 SimSingleIndex"/>
      <sheetName val="121 MarginalFitStudent"/>
      <sheetName val="122 CopulaFitCorrel"/>
      <sheetName val="123 CopulaFitStudent"/>
      <sheetName val="124 CopulaFitClayton"/>
      <sheetName val="125 CopulaSimNormal"/>
      <sheetName val="126 CopulaSimStudent"/>
      <sheetName val="127 CopulaSimClayton"/>
      <sheetName val="128 MarginalDistNormal"/>
      <sheetName val="129 MarginalDistStudent"/>
      <sheetName val="130 MarginalDistMulti"/>
      <sheetName val="131 MarginalDistLNPrices"/>
      <sheetName val="132 VaRLinear"/>
      <sheetName val="133 CVarLinear"/>
      <sheetName val="134 ComponentVaR"/>
      <sheetName val="135 ComponentCVaR"/>
      <sheetName val="136 VaRAg"/>
      <sheetName val="137 ComponentVaRAg"/>
      <sheetName val="138 VaR Simulation"/>
      <sheetName val="139 CashFlowMap"/>
      <sheetName val="140 RebaseVols"/>
      <sheetName val="141 RebaseCorrel"/>
      <sheetName val="142 CorrSingleFactor"/>
      <sheetName val="143 CorrMultiFactors"/>
      <sheetName val="144 RiskSingleFactor"/>
      <sheetName val="145 RiskMultiFactors"/>
      <sheetName val="146 FactorRiskAttribution"/>
      <sheetName val="147 PCA"/>
      <sheetName val="148 PCAFromReturns"/>
      <sheetName val="149 PCAFromCovar"/>
      <sheetName val="150 PCAToCovar"/>
      <sheetName val="151 PCAFactorScores"/>
      <sheetName val="152 PCAPortVols"/>
      <sheetName val="153 PCAAssetVols"/>
      <sheetName val="154 PCARisk"/>
      <sheetName val="155 MinTorsionRisk"/>
      <sheetName val="156 MinTorsionParity"/>
      <sheetName val="157 PCAPortAggregate"/>
      <sheetName val="158 Beta"/>
      <sheetName val="159 RSquared"/>
      <sheetName val="160 TrackingError"/>
      <sheetName val="161 ActiveCorrel"/>
      <sheetName val="162 DownsideDeviation"/>
      <sheetName val="163 DownsideCorrel"/>
      <sheetName val="164 PortfolioVol"/>
      <sheetName val="165 PortfolioVolFX"/>
      <sheetName val="166 RiskAttribution"/>
      <sheetName val="167 RiskAttributionFX"/>
      <sheetName val="168 PortfolioReturnFX"/>
      <sheetName val="169 PortfolioStats"/>
      <sheetName val="170 M3"/>
      <sheetName val="171 StyleAnalysis"/>
      <sheetName val="172 Drawdown"/>
      <sheetName val="173 PerformanceLPM"/>
      <sheetName val="174 CorrelCluster"/>
      <sheetName val="175 CorrelMergeAssets"/>
      <sheetName val="176 PortAggregate"/>
      <sheetName val="177 ImpliedReturns"/>
      <sheetName val="178 ImpliedReturnsFX"/>
      <sheetName val="179 ImpliedBetas"/>
      <sheetName val="180 ImpliedViews"/>
      <sheetName val="181 BlackLitterman"/>
      <sheetName val="182 OptimalPortfolio"/>
      <sheetName val="183 EfficientFrontier"/>
      <sheetName val="184 MVOTarget"/>
      <sheetName val="185 RiskParity"/>
      <sheetName val="186 MDP"/>
      <sheetName val="187 MVP"/>
      <sheetName val="188 AfterTaxTaxable"/>
      <sheetName val="189 AfterTaxTaxDef"/>
      <sheetName val="190 Portfolio Simulation"/>
      <sheetName val="191 Retirement Planning"/>
      <sheetName val="192 ValuationDD2"/>
      <sheetName val="193 ValuationDD3"/>
      <sheetName val="194 ValuationFCFE2"/>
      <sheetName val="195 ValuationFCFE3"/>
      <sheetName val="196 ValuationFCFF2"/>
      <sheetName val="197 ValuationFCFF3"/>
      <sheetName val="198 ImpliedERPDD2"/>
      <sheetName val="199 ImpliedGrowthDD2"/>
      <sheetName val="200 ReLeverBeta"/>
      <sheetName val="201 YahooQuotes"/>
      <sheetName val="202 CSQuotes"/>
      <sheetName val="203 ESQuotes"/>
      <sheetName val="204 SWQuotes"/>
      <sheetName val="205 BSQuotes"/>
      <sheetName val="206 TDQuotes"/>
      <sheetName val="207 IBQuotes"/>
      <sheetName val="208 TBQuotes"/>
      <sheetName val="209A OptionChains"/>
      <sheetName val="209B OptionChains"/>
      <sheetName val="210  Price History Toolbar"/>
      <sheetName val="211 PriceHistory Class"/>
      <sheetName val="212 Quandl Data Toolbar"/>
      <sheetName val="213 Quandl Data Class"/>
      <sheetName val="214 RateCon"/>
      <sheetName val="215 RealRate"/>
      <sheetName val="216 NominalRate"/>
      <sheetName val="217 InflationRate"/>
      <sheetName val="218 RealRP"/>
      <sheetName val="219 NominalRP"/>
      <sheetName val="220 ForwardRate"/>
      <sheetName val="221 ZeroRate"/>
      <sheetName val="222 Interpolation"/>
      <sheetName val="223 DivCon"/>
      <sheetName val="224 DivAdjustVol"/>
      <sheetName val="225 DivAdjustVolTS"/>
      <sheetName val="226 PriceMatrix"/>
      <sheetName val="227 CheckPD"/>
      <sheetName val="228 CheckPSD"/>
      <sheetName val="229 FixPD"/>
      <sheetName val="230 ReorderRow"/>
      <sheetName val="231 ReorderMatrix"/>
      <sheetName val="232 SortByClust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3">
          <cell r="D13">
            <v>37245</v>
          </cell>
        </row>
      </sheetData>
      <sheetData sheetId="16"/>
      <sheetData sheetId="17"/>
      <sheetData sheetId="18"/>
      <sheetData sheetId="19"/>
      <sheetData sheetId="20">
        <row r="20">
          <cell r="D20">
            <v>1</v>
          </cell>
          <cell r="E20">
            <v>0.3</v>
          </cell>
          <cell r="F20">
            <v>0.2</v>
          </cell>
          <cell r="G20">
            <v>0.2</v>
          </cell>
        </row>
        <row r="21">
          <cell r="E21">
            <v>1</v>
          </cell>
          <cell r="F21">
            <v>0.25</v>
          </cell>
          <cell r="G21">
            <v>0.3</v>
          </cell>
        </row>
        <row r="22">
          <cell r="F22">
            <v>1</v>
          </cell>
          <cell r="G22">
            <v>0.2</v>
          </cell>
        </row>
        <row r="23">
          <cell r="G23">
            <v>1</v>
          </cell>
        </row>
      </sheetData>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ow r="24">
          <cell r="C24">
            <v>1494.5</v>
          </cell>
          <cell r="D24">
            <v>6600.74</v>
          </cell>
          <cell r="E24">
            <v>16501.55</v>
          </cell>
          <cell r="F24">
            <v>6703.36</v>
          </cell>
          <cell r="G24">
            <v>934.78</v>
          </cell>
          <cell r="H24">
            <v>1.4189999999077652</v>
          </cell>
          <cell r="I24">
            <v>9.4224073704331831E-3</v>
          </cell>
          <cell r="J24">
            <v>0.86639999999999995</v>
          </cell>
        </row>
        <row r="25">
          <cell r="C25">
            <v>1489.26</v>
          </cell>
          <cell r="D25">
            <v>6581.96</v>
          </cell>
          <cell r="E25">
            <v>16130.9</v>
          </cell>
          <cell r="F25">
            <v>6675.01</v>
          </cell>
          <cell r="G25">
            <v>932.19</v>
          </cell>
          <cell r="H25">
            <v>1.4112999996598767</v>
          </cell>
          <cell r="I25">
            <v>9.4357425929420639E-3</v>
          </cell>
          <cell r="J25">
            <v>0.86180000000000001</v>
          </cell>
        </row>
        <row r="26">
          <cell r="C26">
            <v>1481.99</v>
          </cell>
          <cell r="D26">
            <v>6555.52</v>
          </cell>
          <cell r="E26">
            <v>16040.23</v>
          </cell>
          <cell r="F26">
            <v>6697.8</v>
          </cell>
          <cell r="G26">
            <v>922.98</v>
          </cell>
          <cell r="H26">
            <v>1.4032000009698919</v>
          </cell>
          <cell r="I26">
            <v>9.3571629082062312E-3</v>
          </cell>
          <cell r="J26">
            <v>0.86070000000000002</v>
          </cell>
        </row>
        <row r="27">
          <cell r="C27">
            <v>1484.91</v>
          </cell>
          <cell r="D27">
            <v>6478.19</v>
          </cell>
          <cell r="E27">
            <v>16190.52</v>
          </cell>
          <cell r="F27">
            <v>6568.89</v>
          </cell>
          <cell r="G27">
            <v>907.58</v>
          </cell>
          <cell r="H27">
            <v>1.4124999995409375</v>
          </cell>
          <cell r="I27">
            <v>9.3414301112966017E-3</v>
          </cell>
          <cell r="J27">
            <v>0.86460000000000004</v>
          </cell>
        </row>
        <row r="28">
          <cell r="C28">
            <v>1480.87</v>
          </cell>
          <cell r="D28">
            <v>6555.5</v>
          </cell>
          <cell r="E28">
            <v>16213.28</v>
          </cell>
          <cell r="F28">
            <v>6637.91</v>
          </cell>
          <cell r="G28">
            <v>913.68</v>
          </cell>
          <cell r="H28">
            <v>1.4061000001081292</v>
          </cell>
          <cell r="I28">
            <v>9.3266190381103373E-3</v>
          </cell>
          <cell r="J28">
            <v>0.86140000000000005</v>
          </cell>
        </row>
        <row r="29">
          <cell r="C29">
            <v>1465.81</v>
          </cell>
          <cell r="D29">
            <v>6417.3</v>
          </cell>
          <cell r="E29">
            <v>16213.28</v>
          </cell>
          <cell r="F29">
            <v>6614.65</v>
          </cell>
          <cell r="G29">
            <v>910.61</v>
          </cell>
          <cell r="H29">
            <v>1.3987000001046228</v>
          </cell>
          <cell r="I29">
            <v>9.3248796461096271E-3</v>
          </cell>
          <cell r="J29">
            <v>0.86309999999999998</v>
          </cell>
        </row>
        <row r="30">
          <cell r="C30">
            <v>1444.51</v>
          </cell>
          <cell r="D30">
            <v>6410.15</v>
          </cell>
          <cell r="E30">
            <v>16061.16</v>
          </cell>
          <cell r="F30">
            <v>6522.38</v>
          </cell>
          <cell r="G30">
            <v>894.96</v>
          </cell>
          <cell r="H30">
            <v>1.4014000002819618</v>
          </cell>
          <cell r="I30">
            <v>9.3571629082062312E-3</v>
          </cell>
          <cell r="J30">
            <v>0.85440000000000005</v>
          </cell>
        </row>
        <row r="31">
          <cell r="C31">
            <v>1459.9</v>
          </cell>
          <cell r="D31">
            <v>6403.5</v>
          </cell>
          <cell r="E31">
            <v>16124.19</v>
          </cell>
          <cell r="F31">
            <v>6529.95</v>
          </cell>
          <cell r="G31">
            <v>895.87</v>
          </cell>
          <cell r="H31">
            <v>1.4081000000628012</v>
          </cell>
          <cell r="I31">
            <v>9.3423028159849413E-3</v>
          </cell>
          <cell r="J31">
            <v>0.85360000000000003</v>
          </cell>
        </row>
        <row r="32">
          <cell r="C32">
            <v>1451.34</v>
          </cell>
          <cell r="D32">
            <v>6279.87</v>
          </cell>
          <cell r="E32">
            <v>16458.310000000001</v>
          </cell>
          <cell r="F32">
            <v>6405.43</v>
          </cell>
          <cell r="G32">
            <v>878.38</v>
          </cell>
          <cell r="H32">
            <v>1.4106999998072982</v>
          </cell>
          <cell r="I32">
            <v>9.3650496347630636E-3</v>
          </cell>
          <cell r="J32">
            <v>0.84750000000000003</v>
          </cell>
        </row>
        <row r="33">
          <cell r="C33">
            <v>1449.05</v>
          </cell>
          <cell r="D33">
            <v>6199.16</v>
          </cell>
          <cell r="E33">
            <v>16311.05</v>
          </cell>
          <cell r="F33">
            <v>6254.77</v>
          </cell>
          <cell r="G33">
            <v>864.69</v>
          </cell>
          <cell r="H33">
            <v>1.4367000000941037</v>
          </cell>
          <cell r="I33">
            <v>9.3747070404049879E-3</v>
          </cell>
          <cell r="J33">
            <v>0.85289999999999999</v>
          </cell>
        </row>
        <row r="34">
          <cell r="C34">
            <v>1448.72</v>
          </cell>
          <cell r="D34">
            <v>6205.92</v>
          </cell>
          <cell r="E34">
            <v>15818.25</v>
          </cell>
          <cell r="F34">
            <v>6258.58</v>
          </cell>
          <cell r="G34">
            <v>869.69</v>
          </cell>
          <cell r="H34">
            <v>1.4579000008049068</v>
          </cell>
          <cell r="I34">
            <v>9.2566879570489674E-3</v>
          </cell>
          <cell r="J34">
            <v>0.88170000000000004</v>
          </cell>
        </row>
        <row r="35">
          <cell r="C35">
            <v>1439.03</v>
          </cell>
          <cell r="D35">
            <v>6257.13</v>
          </cell>
          <cell r="E35">
            <v>15992.9</v>
          </cell>
          <cell r="F35">
            <v>6336.28</v>
          </cell>
          <cell r="G35">
            <v>879.55</v>
          </cell>
          <cell r="H35">
            <v>1.453500000093024</v>
          </cell>
          <cell r="I35">
            <v>9.2962730590567116E-3</v>
          </cell>
          <cell r="J35">
            <v>0.87329999999999997</v>
          </cell>
        </row>
        <row r="36">
          <cell r="C36">
            <v>1427.21</v>
          </cell>
          <cell r="D36">
            <v>6213.21</v>
          </cell>
          <cell r="E36">
            <v>15928.62</v>
          </cell>
          <cell r="F36">
            <v>6294.06</v>
          </cell>
          <cell r="G36">
            <v>874.75</v>
          </cell>
          <cell r="H36">
            <v>1.4591999990287563</v>
          </cell>
          <cell r="I36">
            <v>9.2936811611227833E-3</v>
          </cell>
          <cell r="J36">
            <v>0.88009999999999999</v>
          </cell>
        </row>
        <row r="37">
          <cell r="C37">
            <v>1426.57</v>
          </cell>
          <cell r="D37">
            <v>6269.34</v>
          </cell>
          <cell r="E37">
            <v>15639.95</v>
          </cell>
          <cell r="F37">
            <v>6319.79</v>
          </cell>
          <cell r="G37">
            <v>880.92</v>
          </cell>
          <cell r="H37">
            <v>1.4611000001518082</v>
          </cell>
          <cell r="I37">
            <v>9.3075213428445037E-3</v>
          </cell>
          <cell r="J37">
            <v>0.88129999999999997</v>
          </cell>
        </row>
        <row r="38">
          <cell r="C38">
            <v>1458.29</v>
          </cell>
          <cell r="D38">
            <v>6264.06</v>
          </cell>
          <cell r="E38">
            <v>15626.96</v>
          </cell>
          <cell r="F38">
            <v>6311.03</v>
          </cell>
          <cell r="G38">
            <v>883.78</v>
          </cell>
          <cell r="H38">
            <v>1.4638000005609282</v>
          </cell>
          <cell r="I38">
            <v>9.2962730590567116E-3</v>
          </cell>
          <cell r="J38">
            <v>0.88290000000000002</v>
          </cell>
        </row>
        <row r="39">
          <cell r="C39">
            <v>1436.51</v>
          </cell>
          <cell r="D39">
            <v>6294.24</v>
          </cell>
          <cell r="E39">
            <v>15747.26</v>
          </cell>
          <cell r="F39">
            <v>6266.63</v>
          </cell>
          <cell r="G39">
            <v>878.32</v>
          </cell>
          <cell r="H39">
            <v>1.4763999992151458</v>
          </cell>
          <cell r="I39">
            <v>9.2524064815327992E-3</v>
          </cell>
          <cell r="J39">
            <v>0.88249999999999995</v>
          </cell>
        </row>
        <row r="40">
          <cell r="C40">
            <v>1436.23</v>
          </cell>
          <cell r="D40">
            <v>6284.46</v>
          </cell>
          <cell r="E40">
            <v>15902.51</v>
          </cell>
          <cell r="F40">
            <v>6349.24</v>
          </cell>
          <cell r="G40">
            <v>890.32</v>
          </cell>
          <cell r="H40">
            <v>1.4675000002384688</v>
          </cell>
          <cell r="I40">
            <v>9.1954022988505746E-3</v>
          </cell>
          <cell r="J40">
            <v>0.88170000000000004</v>
          </cell>
        </row>
        <row r="41">
          <cell r="C41">
            <v>1426.46</v>
          </cell>
          <cell r="D41">
            <v>6345.04</v>
          </cell>
          <cell r="E41">
            <v>15912.09</v>
          </cell>
          <cell r="F41">
            <v>6400.43</v>
          </cell>
          <cell r="G41">
            <v>890.32</v>
          </cell>
          <cell r="H41">
            <v>1.4566999996578212</v>
          </cell>
          <cell r="I41">
            <v>9.2038664706733976E-3</v>
          </cell>
          <cell r="J41">
            <v>0.87639999999999996</v>
          </cell>
        </row>
        <row r="42">
          <cell r="C42">
            <v>1434.32</v>
          </cell>
          <cell r="D42">
            <v>6334.94</v>
          </cell>
          <cell r="E42">
            <v>16149.08</v>
          </cell>
          <cell r="F42">
            <v>6296.13</v>
          </cell>
          <cell r="G42">
            <v>884.63</v>
          </cell>
          <cell r="H42">
            <v>1.456099999612823</v>
          </cell>
          <cell r="I42">
            <v>9.1499688123313026E-3</v>
          </cell>
          <cell r="J42">
            <v>0.87280000000000002</v>
          </cell>
        </row>
        <row r="43">
          <cell r="C43">
            <v>1436.28</v>
          </cell>
          <cell r="D43">
            <v>6381.98</v>
          </cell>
          <cell r="E43">
            <v>16099.26</v>
          </cell>
          <cell r="F43">
            <v>6335.12</v>
          </cell>
          <cell r="G43">
            <v>892.67</v>
          </cell>
          <cell r="H43">
            <v>1.450100000563654</v>
          </cell>
          <cell r="I43">
            <v>9.1508052708638363E-3</v>
          </cell>
          <cell r="J43">
            <v>0.86950000000000005</v>
          </cell>
        </row>
        <row r="44">
          <cell r="C44">
            <v>1408.99</v>
          </cell>
          <cell r="D44">
            <v>6391.23</v>
          </cell>
          <cell r="E44">
            <v>15994.24</v>
          </cell>
          <cell r="F44">
            <v>6258.41</v>
          </cell>
          <cell r="G44">
            <v>877.15</v>
          </cell>
          <cell r="H44">
            <v>1.445800000661309</v>
          </cell>
          <cell r="I44">
            <v>9.1911773153655618E-3</v>
          </cell>
          <cell r="J44">
            <v>0.86970000000000003</v>
          </cell>
        </row>
        <row r="45">
          <cell r="C45">
            <v>1402.03</v>
          </cell>
          <cell r="D45">
            <v>6264.84</v>
          </cell>
          <cell r="E45">
            <v>15994.24</v>
          </cell>
          <cell r="F45">
            <v>6110.06</v>
          </cell>
          <cell r="G45">
            <v>872.56</v>
          </cell>
          <cell r="H45">
            <v>1.4465000005026587</v>
          </cell>
          <cell r="I45">
            <v>9.1861114446179903E-3</v>
          </cell>
          <cell r="J45">
            <v>0.86899999999999999</v>
          </cell>
        </row>
        <row r="46">
          <cell r="C46">
            <v>1387.02</v>
          </cell>
          <cell r="D46">
            <v>6247.68</v>
          </cell>
          <cell r="E46">
            <v>15827.72</v>
          </cell>
          <cell r="F46">
            <v>6143.3</v>
          </cell>
          <cell r="G46">
            <v>870.75</v>
          </cell>
          <cell r="H46">
            <v>1.4509000002344656</v>
          </cell>
          <cell r="I46">
            <v>9.2712784416167666E-3</v>
          </cell>
          <cell r="J46">
            <v>0.86819999999999997</v>
          </cell>
        </row>
        <row r="47">
          <cell r="C47">
            <v>1364.59</v>
          </cell>
          <cell r="D47">
            <v>6117.63</v>
          </cell>
          <cell r="E47">
            <v>15513.57</v>
          </cell>
          <cell r="F47">
            <v>5956.12</v>
          </cell>
          <cell r="G47">
            <v>855.4</v>
          </cell>
          <cell r="H47">
            <v>1.4605999995232601</v>
          </cell>
          <cell r="I47">
            <v>9.2859141318519956E-3</v>
          </cell>
          <cell r="J47">
            <v>0.87390000000000001</v>
          </cell>
        </row>
        <row r="48">
          <cell r="C48">
            <v>1329.78</v>
          </cell>
          <cell r="D48">
            <v>6131.94</v>
          </cell>
          <cell r="E48">
            <v>15550.64</v>
          </cell>
          <cell r="F48">
            <v>5990.7</v>
          </cell>
          <cell r="G48">
            <v>845.08</v>
          </cell>
          <cell r="H48">
            <v>1.4743000001853195</v>
          </cell>
          <cell r="I48">
            <v>9.2988664030933983E-3</v>
          </cell>
          <cell r="J48">
            <v>0.86250000000000004</v>
          </cell>
        </row>
        <row r="49">
          <cell r="C49">
            <v>1374.17</v>
          </cell>
          <cell r="D49">
            <v>6209.58</v>
          </cell>
          <cell r="E49">
            <v>15330.31</v>
          </cell>
          <cell r="F49">
            <v>6064.21</v>
          </cell>
          <cell r="G49">
            <v>859.07</v>
          </cell>
          <cell r="H49">
            <v>1.450100000563654</v>
          </cell>
          <cell r="I49">
            <v>9.2721380873563367E-3</v>
          </cell>
          <cell r="J49">
            <v>0.85950000000000004</v>
          </cell>
        </row>
        <row r="50">
          <cell r="C50">
            <v>1374.62</v>
          </cell>
          <cell r="D50">
            <v>6285.73</v>
          </cell>
          <cell r="E50">
            <v>15512.32</v>
          </cell>
          <cell r="F50">
            <v>6088.04</v>
          </cell>
          <cell r="G50">
            <v>857.61</v>
          </cell>
          <cell r="H50">
            <v>1.4460999991742769</v>
          </cell>
          <cell r="I50">
            <v>9.233611194239261E-3</v>
          </cell>
          <cell r="J50">
            <v>0.84860000000000002</v>
          </cell>
        </row>
        <row r="51">
          <cell r="C51">
            <v>1349.97</v>
          </cell>
          <cell r="D51">
            <v>6203.25</v>
          </cell>
          <cell r="E51">
            <v>15340.22</v>
          </cell>
          <cell r="F51">
            <v>6067.15</v>
          </cell>
          <cell r="G51">
            <v>852.25</v>
          </cell>
          <cell r="H51">
            <v>1.4511000006962378</v>
          </cell>
          <cell r="I51">
            <v>9.2421441774491672E-3</v>
          </cell>
          <cell r="J51">
            <v>0.84989999999999999</v>
          </cell>
        </row>
        <row r="52">
          <cell r="C52">
            <v>1342.13</v>
          </cell>
          <cell r="D52">
            <v>6148.24</v>
          </cell>
          <cell r="E52">
            <v>14872.48</v>
          </cell>
          <cell r="F52">
            <v>5937.35</v>
          </cell>
          <cell r="G52">
            <v>843.1</v>
          </cell>
          <cell r="H52">
            <v>1.4429000006768644</v>
          </cell>
          <cell r="I52">
            <v>9.2790209964759198E-3</v>
          </cell>
          <cell r="J52">
            <v>0.84760000000000002</v>
          </cell>
        </row>
        <row r="53">
          <cell r="C53">
            <v>1388.76</v>
          </cell>
          <cell r="D53">
            <v>6218.91</v>
          </cell>
          <cell r="E53">
            <v>14811.08</v>
          </cell>
          <cell r="F53">
            <v>6066.48</v>
          </cell>
          <cell r="G53">
            <v>862.33</v>
          </cell>
          <cell r="H53">
            <v>1.4463000004205842</v>
          </cell>
          <cell r="I53">
            <v>9.2208390963577688E-3</v>
          </cell>
          <cell r="J53">
            <v>0.83960000000000001</v>
          </cell>
        </row>
        <row r="54">
          <cell r="C54">
            <v>1396.93</v>
          </cell>
          <cell r="D54">
            <v>6276.27</v>
          </cell>
          <cell r="E54">
            <v>15198.73</v>
          </cell>
          <cell r="F54">
            <v>6149.44</v>
          </cell>
          <cell r="G54">
            <v>863.69</v>
          </cell>
          <cell r="H54">
            <v>1.4509000002344656</v>
          </cell>
          <cell r="I54">
            <v>9.1861114446179903E-3</v>
          </cell>
          <cell r="J54">
            <v>0.83760000000000001</v>
          </cell>
        </row>
        <row r="55">
          <cell r="C55">
            <v>1395.78</v>
          </cell>
          <cell r="D55">
            <v>6315.9</v>
          </cell>
          <cell r="E55">
            <v>15097.96</v>
          </cell>
          <cell r="F55">
            <v>6182.34</v>
          </cell>
          <cell r="G55">
            <v>864.96</v>
          </cell>
          <cell r="H55">
            <v>1.4515000006393857</v>
          </cell>
          <cell r="I55">
            <v>9.2327578247622562E-3</v>
          </cell>
          <cell r="J55">
            <v>0.83599999999999997</v>
          </cell>
        </row>
        <row r="56">
          <cell r="C56">
            <v>1398.13</v>
          </cell>
          <cell r="D56">
            <v>6438.38</v>
          </cell>
          <cell r="E56">
            <v>15148.19</v>
          </cell>
          <cell r="F56">
            <v>6323.74</v>
          </cell>
          <cell r="G56">
            <v>884.58</v>
          </cell>
          <cell r="H56">
            <v>1.450100000563654</v>
          </cell>
          <cell r="I56">
            <v>9.2669826028155509E-3</v>
          </cell>
          <cell r="J56">
            <v>0.83720000000000006</v>
          </cell>
        </row>
        <row r="57">
          <cell r="C57">
            <v>1364.9</v>
          </cell>
          <cell r="D57">
            <v>6367.83</v>
          </cell>
          <cell r="E57">
            <v>14840.47</v>
          </cell>
          <cell r="F57">
            <v>6277.9</v>
          </cell>
          <cell r="G57">
            <v>880.52</v>
          </cell>
          <cell r="H57">
            <v>1.4499000002519926</v>
          </cell>
          <cell r="I57">
            <v>9.1768385038853359E-3</v>
          </cell>
          <cell r="J57">
            <v>0.82869999999999999</v>
          </cell>
        </row>
        <row r="58">
          <cell r="C58">
            <v>1364.44</v>
          </cell>
          <cell r="D58">
            <v>6302.32</v>
          </cell>
          <cell r="E58">
            <v>14858.43</v>
          </cell>
          <cell r="F58">
            <v>6208.42</v>
          </cell>
          <cell r="G58">
            <v>883.86</v>
          </cell>
          <cell r="H58">
            <v>1.4352000002365211</v>
          </cell>
          <cell r="I58">
            <v>9.2284984522423823E-3</v>
          </cell>
          <cell r="J58">
            <v>0.82899999999999996</v>
          </cell>
        </row>
        <row r="59">
          <cell r="C59">
            <v>1379.58</v>
          </cell>
          <cell r="D59">
            <v>6366.55</v>
          </cell>
          <cell r="E59">
            <v>14582.2</v>
          </cell>
          <cell r="F59">
            <v>6268.93</v>
          </cell>
          <cell r="G59">
            <v>899.11</v>
          </cell>
          <cell r="H59">
            <v>1.4546999997575014</v>
          </cell>
          <cell r="I59">
            <v>9.2072561649255286E-3</v>
          </cell>
          <cell r="J59">
            <v>0.8427</v>
          </cell>
        </row>
        <row r="60">
          <cell r="C60">
            <v>1398.66</v>
          </cell>
          <cell r="D60">
            <v>6388.4</v>
          </cell>
          <cell r="E60">
            <v>14464.56</v>
          </cell>
          <cell r="F60">
            <v>6296.84</v>
          </cell>
          <cell r="G60">
            <v>903.65</v>
          </cell>
          <cell r="H60">
            <v>1.4512000005456511</v>
          </cell>
          <cell r="I60">
            <v>9.1768385038853359E-3</v>
          </cell>
          <cell r="J60">
            <v>0.84499999999999997</v>
          </cell>
        </row>
        <row r="61">
          <cell r="C61">
            <v>1429.4</v>
          </cell>
          <cell r="D61">
            <v>6438.42</v>
          </cell>
          <cell r="E61">
            <v>14539.6</v>
          </cell>
          <cell r="F61">
            <v>6397.66</v>
          </cell>
          <cell r="G61">
            <v>921.39</v>
          </cell>
          <cell r="H61">
            <v>1.4497000004591198</v>
          </cell>
          <cell r="I61">
            <v>9.166743056192134E-3</v>
          </cell>
          <cell r="J61">
            <v>0.84760000000000002</v>
          </cell>
        </row>
        <row r="62">
          <cell r="C62">
            <v>1421.22</v>
          </cell>
          <cell r="D62">
            <v>6457.61</v>
          </cell>
          <cell r="E62">
            <v>14872.39</v>
          </cell>
          <cell r="F62">
            <v>6409.05</v>
          </cell>
          <cell r="G62">
            <v>918.7</v>
          </cell>
          <cell r="H62">
            <v>1.4520000003368638</v>
          </cell>
          <cell r="I62">
            <v>9.243853692351053E-3</v>
          </cell>
          <cell r="J62">
            <v>0.85760000000000003</v>
          </cell>
        </row>
        <row r="63">
          <cell r="C63">
            <v>1428.32</v>
          </cell>
          <cell r="D63">
            <v>6392.01</v>
          </cell>
          <cell r="E63">
            <v>14837.78</v>
          </cell>
          <cell r="F63">
            <v>6400.31</v>
          </cell>
          <cell r="G63">
            <v>921.34</v>
          </cell>
          <cell r="H63">
            <v>1.4459000009688976</v>
          </cell>
          <cell r="I63">
            <v>9.24898261191269E-3</v>
          </cell>
          <cell r="J63">
            <v>0.86009999999999998</v>
          </cell>
        </row>
        <row r="64">
          <cell r="C64">
            <v>1426.69</v>
          </cell>
          <cell r="D64">
            <v>6385.44</v>
          </cell>
          <cell r="E64">
            <v>14837.78</v>
          </cell>
          <cell r="F64">
            <v>6398.92</v>
          </cell>
          <cell r="G64">
            <v>925.15</v>
          </cell>
          <cell r="H64">
            <v>1.4489000006253452</v>
          </cell>
          <cell r="I64">
            <v>9.3466687864911472E-3</v>
          </cell>
          <cell r="J64">
            <v>0.86360000000000003</v>
          </cell>
        </row>
        <row r="65">
          <cell r="C65">
            <v>1432.19</v>
          </cell>
          <cell r="D65">
            <v>6430.99</v>
          </cell>
          <cell r="E65">
            <v>15371.44</v>
          </cell>
          <cell r="F65">
            <v>6352.24</v>
          </cell>
          <cell r="G65">
            <v>928.29</v>
          </cell>
          <cell r="H65">
            <v>1.4271000008058834</v>
          </cell>
          <cell r="I65">
            <v>9.3023255813953487E-3</v>
          </cell>
          <cell r="J65">
            <v>0.86119999999999997</v>
          </cell>
        </row>
        <row r="66">
          <cell r="C66">
            <v>1431.87</v>
          </cell>
          <cell r="D66">
            <v>6466.91</v>
          </cell>
          <cell r="E66">
            <v>15340.33</v>
          </cell>
          <cell r="F66">
            <v>6386.07</v>
          </cell>
          <cell r="G66">
            <v>921.48</v>
          </cell>
          <cell r="H66">
            <v>1.4343000002333608</v>
          </cell>
          <cell r="I66">
            <v>9.3466687864911472E-3</v>
          </cell>
          <cell r="J66">
            <v>0.86070000000000002</v>
          </cell>
        </row>
        <row r="67">
          <cell r="C67">
            <v>1409.28</v>
          </cell>
          <cell r="D67">
            <v>6477.37</v>
          </cell>
          <cell r="E67">
            <v>15399.64</v>
          </cell>
          <cell r="F67">
            <v>6336.03</v>
          </cell>
          <cell r="G67">
            <v>916.65</v>
          </cell>
          <cell r="H67">
            <v>1.4249999999287501</v>
          </cell>
          <cell r="I67">
            <v>9.3457943925233638E-3</v>
          </cell>
          <cell r="J67">
            <v>0.85629999999999995</v>
          </cell>
        </row>
        <row r="68">
          <cell r="C68">
            <v>1400.14</v>
          </cell>
          <cell r="D68">
            <v>6442.19</v>
          </cell>
          <cell r="E68">
            <v>15060.05</v>
          </cell>
          <cell r="F68">
            <v>6271.15</v>
          </cell>
          <cell r="G68">
            <v>912.28</v>
          </cell>
          <cell r="H68">
            <v>1.4329000004437691</v>
          </cell>
          <cell r="I68">
            <v>9.312722044395795E-3</v>
          </cell>
          <cell r="J68">
            <v>0.8589</v>
          </cell>
        </row>
        <row r="69">
          <cell r="C69">
            <v>1365.98</v>
          </cell>
          <cell r="D69">
            <v>6400.22</v>
          </cell>
          <cell r="E69">
            <v>14988.54</v>
          </cell>
          <cell r="F69">
            <v>6147.49</v>
          </cell>
          <cell r="G69">
            <v>899.63</v>
          </cell>
          <cell r="H69">
            <v>1.4266999996859835</v>
          </cell>
          <cell r="I69">
            <v>9.2618328481830926E-3</v>
          </cell>
          <cell r="J69">
            <v>0.86350000000000005</v>
          </cell>
        </row>
        <row r="70">
          <cell r="C70">
            <v>1351.26</v>
          </cell>
          <cell r="D70">
            <v>6274.8</v>
          </cell>
          <cell r="E70">
            <v>14664.64</v>
          </cell>
          <cell r="F70">
            <v>6037.73</v>
          </cell>
          <cell r="G70">
            <v>880.44</v>
          </cell>
          <cell r="H70">
            <v>1.4380999997676032</v>
          </cell>
          <cell r="I70">
            <v>9.2876381536175345E-3</v>
          </cell>
          <cell r="J70">
            <v>0.86009999999999998</v>
          </cell>
        </row>
        <row r="71">
          <cell r="C71">
            <v>1382.95</v>
          </cell>
          <cell r="D71">
            <v>6412.9</v>
          </cell>
          <cell r="E71">
            <v>14660.04</v>
          </cell>
          <cell r="F71">
            <v>6225.98</v>
          </cell>
          <cell r="G71">
            <v>906.82</v>
          </cell>
          <cell r="H71">
            <v>1.4312999995939402</v>
          </cell>
          <cell r="I71">
            <v>9.243853692351053E-3</v>
          </cell>
          <cell r="J71">
            <v>0.85809999999999997</v>
          </cell>
        </row>
        <row r="72">
          <cell r="C72">
            <v>1389.81</v>
          </cell>
          <cell r="D72">
            <v>6432.3</v>
          </cell>
          <cell r="E72">
            <v>14799.14</v>
          </cell>
          <cell r="F72">
            <v>6301.78</v>
          </cell>
          <cell r="G72">
            <v>907.62</v>
          </cell>
          <cell r="H72">
            <v>1.4272999999264941</v>
          </cell>
          <cell r="I72">
            <v>9.1827372986902928E-3</v>
          </cell>
          <cell r="J72">
            <v>0.85940000000000005</v>
          </cell>
        </row>
        <row r="73">
          <cell r="C73">
            <v>1372.32</v>
          </cell>
          <cell r="D73">
            <v>6430.4</v>
          </cell>
          <cell r="E73">
            <v>14587.03</v>
          </cell>
          <cell r="F73">
            <v>6283.06</v>
          </cell>
          <cell r="G73">
            <v>894.88</v>
          </cell>
          <cell r="H73">
            <v>1.4235000003622806</v>
          </cell>
          <cell r="I73">
            <v>9.1717875813996149E-3</v>
          </cell>
          <cell r="J73">
            <v>0.85429999999999995</v>
          </cell>
        </row>
        <row r="74">
          <cell r="C74">
            <v>1367.72</v>
          </cell>
          <cell r="D74">
            <v>6440.1</v>
          </cell>
          <cell r="E74">
            <v>14544.3</v>
          </cell>
          <cell r="F74">
            <v>6161.92</v>
          </cell>
          <cell r="G74">
            <v>885.02</v>
          </cell>
          <cell r="H74">
            <v>1.4232999991302215</v>
          </cell>
          <cell r="I74">
            <v>9.1852668320014687E-3</v>
          </cell>
          <cell r="J74">
            <v>0.85270000000000001</v>
          </cell>
        </row>
        <row r="75">
          <cell r="C75">
            <v>1342.62</v>
          </cell>
          <cell r="D75">
            <v>6344.98</v>
          </cell>
          <cell r="E75">
            <v>14531.65</v>
          </cell>
          <cell r="F75">
            <v>6021.79</v>
          </cell>
          <cell r="G75">
            <v>870.04</v>
          </cell>
          <cell r="H75">
            <v>1.4234000008250027</v>
          </cell>
          <cell r="I75">
            <v>9.1033235414950883E-3</v>
          </cell>
          <cell r="J75">
            <v>0.84889999999999999</v>
          </cell>
        </row>
        <row r="76">
          <cell r="C76">
            <v>1347.35</v>
          </cell>
          <cell r="D76">
            <v>6382.15</v>
          </cell>
          <cell r="E76">
            <v>14408.46</v>
          </cell>
          <cell r="F76">
            <v>6081.02</v>
          </cell>
          <cell r="G76">
            <v>872.17</v>
          </cell>
          <cell r="H76">
            <v>1.4183000006854645</v>
          </cell>
          <cell r="I76">
            <v>9.0768811836253061E-3</v>
          </cell>
          <cell r="J76">
            <v>0.84560000000000002</v>
          </cell>
        </row>
        <row r="77">
          <cell r="C77">
            <v>1322.36</v>
          </cell>
          <cell r="D77">
            <v>6221.36</v>
          </cell>
          <cell r="E77">
            <v>14301.31</v>
          </cell>
          <cell r="F77">
            <v>5944.7</v>
          </cell>
          <cell r="G77">
            <v>855.38</v>
          </cell>
          <cell r="H77">
            <v>1.4068000007698009</v>
          </cell>
          <cell r="I77">
            <v>9.0694729792738047E-3</v>
          </cell>
          <cell r="J77">
            <v>0.84330000000000005</v>
          </cell>
        </row>
        <row r="78">
          <cell r="C78">
            <v>1322.36</v>
          </cell>
          <cell r="D78">
            <v>6287.26</v>
          </cell>
          <cell r="E78">
            <v>14301.31</v>
          </cell>
          <cell r="F78">
            <v>6053.04</v>
          </cell>
          <cell r="G78">
            <v>866.23</v>
          </cell>
          <cell r="H78">
            <v>1.4068000007698009</v>
          </cell>
          <cell r="I78">
            <v>9.0694729792738047E-3</v>
          </cell>
          <cell r="J78">
            <v>0.84209999999999996</v>
          </cell>
        </row>
        <row r="79">
          <cell r="C79">
            <v>1341.77</v>
          </cell>
          <cell r="D79">
            <v>6327.55</v>
          </cell>
          <cell r="E79">
            <v>14315.35</v>
          </cell>
          <cell r="F79">
            <v>6145.65</v>
          </cell>
          <cell r="G79">
            <v>876.65</v>
          </cell>
          <cell r="H79">
            <v>1.3997999993756893</v>
          </cell>
          <cell r="I79">
            <v>8.9879569466076708E-3</v>
          </cell>
          <cell r="J79">
            <v>0.83979999999999999</v>
          </cell>
        </row>
        <row r="80">
          <cell r="C80">
            <v>1348.97</v>
          </cell>
          <cell r="D80">
            <v>6374.69</v>
          </cell>
          <cell r="E80">
            <v>14720.39</v>
          </cell>
          <cell r="F80">
            <v>6171.33</v>
          </cell>
          <cell r="G80">
            <v>879.49</v>
          </cell>
          <cell r="H80">
            <v>1.417500000269325</v>
          </cell>
          <cell r="I80">
            <v>9.0358724134815219E-3</v>
          </cell>
          <cell r="J80">
            <v>0.84889999999999999</v>
          </cell>
        </row>
        <row r="81">
          <cell r="C81">
            <v>1336.09</v>
          </cell>
          <cell r="D81">
            <v>6249.8</v>
          </cell>
          <cell r="E81">
            <v>14658.87</v>
          </cell>
          <cell r="F81">
            <v>6069.22</v>
          </cell>
          <cell r="G81">
            <v>871.12</v>
          </cell>
          <cell r="H81">
            <v>1.4163000004054866</v>
          </cell>
          <cell r="I81">
            <v>9.0777059801839134E-3</v>
          </cell>
          <cell r="J81">
            <v>0.85499999999999998</v>
          </cell>
        </row>
        <row r="82">
          <cell r="C82">
            <v>1341.91</v>
          </cell>
          <cell r="D82">
            <v>6164.88</v>
          </cell>
          <cell r="E82">
            <v>14507.64</v>
          </cell>
          <cell r="F82">
            <v>6060.65</v>
          </cell>
          <cell r="G82">
            <v>873.23</v>
          </cell>
          <cell r="H82">
            <v>1.4228999991984805</v>
          </cell>
          <cell r="I82">
            <v>8.9944242664529821E-3</v>
          </cell>
          <cell r="J82">
            <v>0.86009999999999998</v>
          </cell>
        </row>
        <row r="83">
          <cell r="C83">
            <v>1314.95</v>
          </cell>
          <cell r="D83">
            <v>6142.2</v>
          </cell>
          <cell r="E83">
            <v>14648.51</v>
          </cell>
          <cell r="F83">
            <v>5928.08</v>
          </cell>
          <cell r="G83">
            <v>849.89</v>
          </cell>
          <cell r="H83">
            <v>1.4264999997703336</v>
          </cell>
          <cell r="I83">
            <v>9.0583820878103252E-3</v>
          </cell>
          <cell r="J83">
            <v>0.87050000000000005</v>
          </cell>
        </row>
        <row r="84">
          <cell r="C84">
            <v>1315.23</v>
          </cell>
          <cell r="D84">
            <v>6170.42</v>
          </cell>
          <cell r="E84">
            <v>14835.33</v>
          </cell>
          <cell r="F84">
            <v>5928.5</v>
          </cell>
          <cell r="G84">
            <v>859.23</v>
          </cell>
          <cell r="H84">
            <v>1.4416499991022844</v>
          </cell>
          <cell r="I84">
            <v>8.9919979311211158E-3</v>
          </cell>
          <cell r="J84">
            <v>0.873</v>
          </cell>
        </row>
        <row r="85">
          <cell r="C85">
            <v>1324.97</v>
          </cell>
          <cell r="D85">
            <v>6158.67</v>
          </cell>
          <cell r="E85">
            <v>14954.73</v>
          </cell>
          <cell r="F85">
            <v>5791.51</v>
          </cell>
          <cell r="G85">
            <v>846.16</v>
          </cell>
          <cell r="H85">
            <v>1.4509999998897241</v>
          </cell>
          <cell r="I85">
            <v>8.9988751406074249E-3</v>
          </cell>
          <cell r="J85">
            <v>0.88939999999999997</v>
          </cell>
        </row>
        <row r="86">
          <cell r="C86">
            <v>1376.54</v>
          </cell>
          <cell r="D86">
            <v>6298.98</v>
          </cell>
          <cell r="E86">
            <v>14695.05</v>
          </cell>
          <cell r="F86">
            <v>5994.89</v>
          </cell>
          <cell r="G86">
            <v>868.39</v>
          </cell>
          <cell r="H86">
            <v>1.4338499998642145</v>
          </cell>
          <cell r="I86">
            <v>9.0037373613413192E-3</v>
          </cell>
          <cell r="J86">
            <v>0.88500000000000001</v>
          </cell>
        </row>
        <row r="87">
          <cell r="C87">
            <v>1351.46</v>
          </cell>
          <cell r="D87">
            <v>6273.32</v>
          </cell>
          <cell r="E87">
            <v>14889.37</v>
          </cell>
          <cell r="F87">
            <v>5985.24</v>
          </cell>
          <cell r="G87">
            <v>873.11</v>
          </cell>
          <cell r="H87">
            <v>1.4434499997753993</v>
          </cell>
          <cell r="I87">
            <v>9.0723528303336652E-3</v>
          </cell>
          <cell r="J87">
            <v>0.88460000000000005</v>
          </cell>
        </row>
        <row r="88">
          <cell r="C88">
            <v>1343.55</v>
          </cell>
          <cell r="D88">
            <v>6231.37</v>
          </cell>
          <cell r="E88">
            <v>14720.36</v>
          </cell>
          <cell r="F88">
            <v>5984.69</v>
          </cell>
          <cell r="G88">
            <v>867.9</v>
          </cell>
          <cell r="H88">
            <v>1.4447499991165353</v>
          </cell>
          <cell r="I88">
            <v>9.0477275772655567E-3</v>
          </cell>
          <cell r="J88">
            <v>0.88980000000000004</v>
          </cell>
        </row>
        <row r="89">
          <cell r="C89">
            <v>1369.89</v>
          </cell>
          <cell r="D89">
            <v>6288.33</v>
          </cell>
          <cell r="E89">
            <v>14696.51</v>
          </cell>
          <cell r="F89">
            <v>5939.32</v>
          </cell>
          <cell r="G89">
            <v>874.94</v>
          </cell>
          <cell r="H89">
            <v>1.4452999997357991</v>
          </cell>
          <cell r="I89">
            <v>8.9831125568732087E-3</v>
          </cell>
          <cell r="J89">
            <v>0.8881</v>
          </cell>
        </row>
        <row r="90">
          <cell r="C90">
            <v>1380.2</v>
          </cell>
          <cell r="D90">
            <v>6370.35</v>
          </cell>
          <cell r="E90">
            <v>15015.7</v>
          </cell>
          <cell r="F90">
            <v>6077.88</v>
          </cell>
          <cell r="G90">
            <v>888.85</v>
          </cell>
          <cell r="H90">
            <v>1.4563000005496076</v>
          </cell>
          <cell r="I90">
            <v>9.0260862014700065E-3</v>
          </cell>
          <cell r="J90">
            <v>0.87790000000000001</v>
          </cell>
        </row>
        <row r="91">
          <cell r="C91">
            <v>1371.18</v>
          </cell>
          <cell r="D91">
            <v>6390.41</v>
          </cell>
          <cell r="E91">
            <v>15114.64</v>
          </cell>
          <cell r="F91">
            <v>6047.66</v>
          </cell>
          <cell r="G91">
            <v>884.02</v>
          </cell>
          <cell r="H91">
            <v>1.4484499998224925</v>
          </cell>
          <cell r="I91">
            <v>8.9734394269059079E-3</v>
          </cell>
          <cell r="J91">
            <v>0.87719999999999998</v>
          </cell>
        </row>
        <row r="92">
          <cell r="C92">
            <v>1359.99</v>
          </cell>
          <cell r="D92">
            <v>6402.96</v>
          </cell>
          <cell r="E92">
            <v>15168.68</v>
          </cell>
          <cell r="F92">
            <v>5962.29</v>
          </cell>
          <cell r="G92">
            <v>870.58</v>
          </cell>
          <cell r="H92">
            <v>1.4568999999050103</v>
          </cell>
          <cell r="I92">
            <v>8.9031346957919068E-3</v>
          </cell>
          <cell r="J92">
            <v>0.87560000000000004</v>
          </cell>
        </row>
        <row r="93">
          <cell r="C93">
            <v>1340.93</v>
          </cell>
          <cell r="D93">
            <v>6263.81</v>
          </cell>
          <cell r="E93">
            <v>14927.19</v>
          </cell>
          <cell r="F93">
            <v>5905.65</v>
          </cell>
          <cell r="G93">
            <v>855.08</v>
          </cell>
          <cell r="H93">
            <v>1.4564499996593363</v>
          </cell>
          <cell r="I93">
            <v>8.9067030867693679E-3</v>
          </cell>
          <cell r="J93">
            <v>0.88739999999999997</v>
          </cell>
        </row>
        <row r="94">
          <cell r="C94">
            <v>1312.15</v>
          </cell>
          <cell r="D94">
            <v>6175.81</v>
          </cell>
          <cell r="E94">
            <v>14552.29</v>
          </cell>
          <cell r="F94">
            <v>5839.54</v>
          </cell>
          <cell r="G94">
            <v>843.69</v>
          </cell>
          <cell r="H94">
            <v>1.4564499996593363</v>
          </cell>
          <cell r="I94">
            <v>8.9067030867693679E-3</v>
          </cell>
          <cell r="J94">
            <v>0.89749999999999996</v>
          </cell>
        </row>
        <row r="95">
          <cell r="C95">
            <v>1322.74</v>
          </cell>
          <cell r="D95">
            <v>6246.48</v>
          </cell>
          <cell r="E95">
            <v>14483.9</v>
          </cell>
          <cell r="F95">
            <v>5887.49</v>
          </cell>
          <cell r="G95">
            <v>843.96</v>
          </cell>
          <cell r="H95">
            <v>1.4756499990705618</v>
          </cell>
          <cell r="I95">
            <v>8.9110683399633173E-3</v>
          </cell>
          <cell r="J95">
            <v>0.89580000000000004</v>
          </cell>
        </row>
        <row r="96">
          <cell r="C96">
            <v>1305.5999999999999</v>
          </cell>
          <cell r="D96">
            <v>6294.98</v>
          </cell>
          <cell r="E96">
            <v>14132.37</v>
          </cell>
          <cell r="F96">
            <v>5958.86</v>
          </cell>
          <cell r="G96">
            <v>857.91</v>
          </cell>
          <cell r="H96">
            <v>1.4652999999172105</v>
          </cell>
          <cell r="I96">
            <v>8.8865191504487687E-3</v>
          </cell>
          <cell r="J96">
            <v>0.8911</v>
          </cell>
        </row>
        <row r="97">
          <cell r="C97">
            <v>1264.74</v>
          </cell>
          <cell r="D97">
            <v>6176.71</v>
          </cell>
          <cell r="E97">
            <v>13914.43</v>
          </cell>
          <cell r="F97">
            <v>5766.3</v>
          </cell>
          <cell r="G97">
            <v>831.38</v>
          </cell>
          <cell r="H97">
            <v>1.478550000917884</v>
          </cell>
          <cell r="I97">
            <v>8.8742956027865281E-3</v>
          </cell>
          <cell r="J97">
            <v>0.90680000000000005</v>
          </cell>
        </row>
        <row r="98">
          <cell r="C98">
            <v>1274.8599999999999</v>
          </cell>
          <cell r="D98">
            <v>6115.48</v>
          </cell>
          <cell r="E98">
            <v>13423.21</v>
          </cell>
          <cell r="F98">
            <v>5758.92</v>
          </cell>
          <cell r="G98">
            <v>824.13</v>
          </cell>
          <cell r="H98">
            <v>1.4734500002202806</v>
          </cell>
          <cell r="I98">
            <v>8.9015488695032927E-3</v>
          </cell>
          <cell r="J98">
            <v>0.91410000000000002</v>
          </cell>
        </row>
        <row r="99">
          <cell r="C99">
            <v>1305.97</v>
          </cell>
          <cell r="D99">
            <v>6097.53</v>
          </cell>
          <cell r="E99">
            <v>13427.08</v>
          </cell>
          <cell r="F99">
            <v>5783.73</v>
          </cell>
          <cell r="G99">
            <v>828.88</v>
          </cell>
          <cell r="H99">
            <v>1.4818499989158784</v>
          </cell>
          <cell r="I99">
            <v>8.8609277391342878E-3</v>
          </cell>
          <cell r="J99">
            <v>0.92349999999999999</v>
          </cell>
        </row>
        <row r="100">
          <cell r="C100">
            <v>1305.97</v>
          </cell>
          <cell r="D100">
            <v>6097.53</v>
          </cell>
          <cell r="E100">
            <v>13931.61</v>
          </cell>
          <cell r="F100">
            <v>5783.73</v>
          </cell>
          <cell r="G100">
            <v>828.88</v>
          </cell>
          <cell r="H100">
            <v>1.4818499989158784</v>
          </cell>
          <cell r="I100">
            <v>8.8609277391342878E-3</v>
          </cell>
          <cell r="J100">
            <v>0.92349999999999999</v>
          </cell>
        </row>
        <row r="101">
          <cell r="C101">
            <v>1315.19</v>
          </cell>
          <cell r="D101">
            <v>6097.53</v>
          </cell>
          <cell r="E101">
            <v>14007.85</v>
          </cell>
          <cell r="F101">
            <v>5783.73</v>
          </cell>
          <cell r="G101">
            <v>828.88</v>
          </cell>
          <cell r="H101">
            <v>1.4818499989158784</v>
          </cell>
          <cell r="I101">
            <v>8.8609277391342878E-3</v>
          </cell>
          <cell r="J101">
            <v>0.92889999999999995</v>
          </cell>
        </row>
        <row r="102">
          <cell r="C102">
            <v>1328.92</v>
          </cell>
          <cell r="D102">
            <v>6218.17</v>
          </cell>
          <cell r="E102">
            <v>13981.49</v>
          </cell>
          <cell r="F102">
            <v>5857.15</v>
          </cell>
          <cell r="G102">
            <v>835.87</v>
          </cell>
          <cell r="H102">
            <v>1.4818499989158784</v>
          </cell>
          <cell r="I102">
            <v>8.8609277391342878E-3</v>
          </cell>
          <cell r="J102">
            <v>0.93059999999999998</v>
          </cell>
        </row>
        <row r="103">
          <cell r="C103">
            <v>1334.22</v>
          </cell>
          <cell r="D103">
            <v>6223.22</v>
          </cell>
          <cell r="E103">
            <v>13946.96</v>
          </cell>
          <cell r="F103">
            <v>5920.6</v>
          </cell>
          <cell r="G103">
            <v>839.78</v>
          </cell>
          <cell r="H103">
            <v>1.4818499989158784</v>
          </cell>
          <cell r="I103">
            <v>8.8609277391342878E-3</v>
          </cell>
          <cell r="J103">
            <v>0.92569999999999997</v>
          </cell>
        </row>
        <row r="104">
          <cell r="C104">
            <v>1320.28</v>
          </cell>
          <cell r="D104">
            <v>6222.46</v>
          </cell>
          <cell r="E104">
            <v>13785.69</v>
          </cell>
          <cell r="F104">
            <v>5926.42</v>
          </cell>
          <cell r="G104">
            <v>851.29</v>
          </cell>
          <cell r="H104">
            <v>1.495999999688832</v>
          </cell>
          <cell r="I104">
            <v>8.7439346604236134E-3</v>
          </cell>
          <cell r="J104">
            <v>0.93889999999999996</v>
          </cell>
        </row>
        <row r="105">
          <cell r="C105">
            <v>1320.28</v>
          </cell>
          <cell r="D105">
            <v>6222.46</v>
          </cell>
          <cell r="E105">
            <v>13785.69</v>
          </cell>
          <cell r="F105">
            <v>5926.42</v>
          </cell>
          <cell r="G105">
            <v>851.29</v>
          </cell>
          <cell r="H105">
            <v>1.495999999688832</v>
          </cell>
          <cell r="I105">
            <v>8.7439346604236134E-3</v>
          </cell>
          <cell r="J105">
            <v>0.93889999999999996</v>
          </cell>
        </row>
      </sheetData>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38">
          <cell r="C38">
            <v>20.299999237060547</v>
          </cell>
          <cell r="D38">
            <v>20.309999465942383</v>
          </cell>
          <cell r="E38">
            <v>20.319999694824219</v>
          </cell>
          <cell r="F38">
            <v>20.340000152587891</v>
          </cell>
          <cell r="G38">
            <v>20.360000610351563</v>
          </cell>
          <cell r="H38">
            <v>20.379999160766602</v>
          </cell>
          <cell r="I38">
            <v>20.409999847412109</v>
          </cell>
          <cell r="J38">
            <v>20.420000076293945</v>
          </cell>
          <cell r="K38">
            <v>20.420000076293945</v>
          </cell>
          <cell r="L38">
            <v>20.409999847412109</v>
          </cell>
          <cell r="M38">
            <v>20.389999389648438</v>
          </cell>
          <cell r="N38">
            <v>20.370000839233398</v>
          </cell>
        </row>
        <row r="39">
          <cell r="C39">
            <v>20.209999084472656</v>
          </cell>
          <cell r="D39">
            <v>20.219999313354492</v>
          </cell>
          <cell r="E39">
            <v>20.219999313354492</v>
          </cell>
          <cell r="F39">
            <v>20.229999542236328</v>
          </cell>
          <cell r="G39">
            <v>20.25</v>
          </cell>
          <cell r="H39">
            <v>20.260000228881836</v>
          </cell>
          <cell r="I39">
            <v>20.280000686645508</v>
          </cell>
          <cell r="J39">
            <v>20.290000915527344</v>
          </cell>
          <cell r="K39">
            <v>20.290000915527344</v>
          </cell>
          <cell r="L39">
            <v>20.280000686645508</v>
          </cell>
          <cell r="M39">
            <v>20.25</v>
          </cell>
          <cell r="N39">
            <v>20.229999542236328</v>
          </cell>
        </row>
        <row r="40">
          <cell r="C40">
            <v>20.079999923706055</v>
          </cell>
          <cell r="D40">
            <v>20.090000152587891</v>
          </cell>
          <cell r="E40">
            <v>20.100000381469727</v>
          </cell>
          <cell r="F40">
            <v>20.110000610351563</v>
          </cell>
          <cell r="G40">
            <v>20.129999160766602</v>
          </cell>
          <cell r="H40">
            <v>20.149999618530273</v>
          </cell>
          <cell r="I40">
            <v>20.170000076293945</v>
          </cell>
          <cell r="J40">
            <v>20.190000534057617</v>
          </cell>
          <cell r="K40">
            <v>20.190000534057617</v>
          </cell>
          <cell r="L40">
            <v>20.180000305175781</v>
          </cell>
          <cell r="M40">
            <v>20.159999847412109</v>
          </cell>
          <cell r="N40">
            <v>20.139999389648438</v>
          </cell>
        </row>
        <row r="41">
          <cell r="C41">
            <v>20.049999237060547</v>
          </cell>
          <cell r="D41">
            <v>20.040000915527344</v>
          </cell>
          <cell r="E41">
            <v>20.049999237060547</v>
          </cell>
          <cell r="F41">
            <v>20.069999694824219</v>
          </cell>
          <cell r="G41">
            <v>20.100000381469727</v>
          </cell>
          <cell r="H41">
            <v>20.120000839233398</v>
          </cell>
          <cell r="I41">
            <v>20.149999618530273</v>
          </cell>
          <cell r="J41">
            <v>20.170000076293945</v>
          </cell>
          <cell r="K41">
            <v>20.170000076293945</v>
          </cell>
          <cell r="L41">
            <v>20.159999847412109</v>
          </cell>
          <cell r="M41">
            <v>20.139999389648438</v>
          </cell>
          <cell r="N41">
            <v>20.120000839233398</v>
          </cell>
        </row>
        <row r="42">
          <cell r="C42">
            <v>20.180000305175781</v>
          </cell>
          <cell r="D42">
            <v>20.170000076293945</v>
          </cell>
          <cell r="E42">
            <v>20.170000076293945</v>
          </cell>
          <cell r="F42">
            <v>20.190000534057617</v>
          </cell>
          <cell r="G42">
            <v>20.209999084472656</v>
          </cell>
          <cell r="H42">
            <v>20.219999313354492</v>
          </cell>
          <cell r="I42">
            <v>20.239999771118164</v>
          </cell>
          <cell r="J42">
            <v>20.260000228881836</v>
          </cell>
          <cell r="K42">
            <v>20.260000228881836</v>
          </cell>
          <cell r="L42">
            <v>20.25</v>
          </cell>
          <cell r="M42">
            <v>20.229999542236328</v>
          </cell>
          <cell r="N42">
            <v>20.209999084472656</v>
          </cell>
        </row>
        <row r="43">
          <cell r="C43">
            <v>20.260000228881836</v>
          </cell>
          <cell r="D43">
            <v>20.239999771118164</v>
          </cell>
          <cell r="E43">
            <v>20.239999771118164</v>
          </cell>
          <cell r="F43">
            <v>20.260000228881836</v>
          </cell>
          <cell r="G43">
            <v>20.280000686645508</v>
          </cell>
          <cell r="H43">
            <v>20.290000915527344</v>
          </cell>
          <cell r="I43">
            <v>20.309999465942383</v>
          </cell>
          <cell r="J43">
            <v>20.329999923706055</v>
          </cell>
          <cell r="K43">
            <v>20.329999923706055</v>
          </cell>
          <cell r="L43">
            <v>20.319999694824219</v>
          </cell>
          <cell r="M43">
            <v>20.299999237060547</v>
          </cell>
          <cell r="N43">
            <v>20.280000686645508</v>
          </cell>
        </row>
        <row r="44">
          <cell r="C44">
            <v>19.979999542236328</v>
          </cell>
          <cell r="D44">
            <v>19.979999542236328</v>
          </cell>
          <cell r="E44">
            <v>19.979999542236328</v>
          </cell>
          <cell r="F44">
            <v>20</v>
          </cell>
          <cell r="G44">
            <v>20.020000457763672</v>
          </cell>
          <cell r="H44">
            <v>20.030000686645508</v>
          </cell>
          <cell r="I44">
            <v>20.049999237060547</v>
          </cell>
          <cell r="J44">
            <v>20.069999694824219</v>
          </cell>
          <cell r="K44">
            <v>20.069999694824219</v>
          </cell>
          <cell r="L44">
            <v>20.059999465942383</v>
          </cell>
          <cell r="M44">
            <v>20.040000915527344</v>
          </cell>
          <cell r="N44">
            <v>20.020000457763672</v>
          </cell>
        </row>
        <row r="45">
          <cell r="C45">
            <v>19.530000686645508</v>
          </cell>
          <cell r="D45">
            <v>19.530000686645508</v>
          </cell>
          <cell r="E45">
            <v>19.549999237060547</v>
          </cell>
          <cell r="F45">
            <v>19.590000152587891</v>
          </cell>
          <cell r="G45">
            <v>19.629999160766602</v>
          </cell>
          <cell r="H45">
            <v>19.649999618530273</v>
          </cell>
          <cell r="I45">
            <v>19.680000305175781</v>
          </cell>
          <cell r="J45">
            <v>19.709999084472656</v>
          </cell>
          <cell r="K45">
            <v>19.709999084472656</v>
          </cell>
          <cell r="L45">
            <v>19.700000762939453</v>
          </cell>
          <cell r="M45">
            <v>19.680000305175781</v>
          </cell>
          <cell r="N45">
            <v>19.659999847412109</v>
          </cell>
        </row>
        <row r="46">
          <cell r="C46">
            <v>19.329999923706055</v>
          </cell>
          <cell r="D46">
            <v>19.360000610351563</v>
          </cell>
          <cell r="E46">
            <v>19.420000076293945</v>
          </cell>
          <cell r="F46">
            <v>19.489999771118164</v>
          </cell>
          <cell r="G46">
            <v>19.559999465942383</v>
          </cell>
          <cell r="H46">
            <v>19.600000381469727</v>
          </cell>
          <cell r="I46">
            <v>19.639999389648438</v>
          </cell>
          <cell r="J46">
            <v>19.690000534057617</v>
          </cell>
          <cell r="K46">
            <v>19.690000534057617</v>
          </cell>
          <cell r="L46">
            <v>19.680000305175781</v>
          </cell>
          <cell r="M46">
            <v>19.659999847412109</v>
          </cell>
          <cell r="N46">
            <v>19.639999389648438</v>
          </cell>
        </row>
        <row r="47">
          <cell r="C47">
            <v>19.420000076293945</v>
          </cell>
          <cell r="D47">
            <v>19.530000686645508</v>
          </cell>
          <cell r="E47">
            <v>19.629999160766602</v>
          </cell>
          <cell r="F47">
            <v>19.719999313354492</v>
          </cell>
          <cell r="G47">
            <v>19.809999465942383</v>
          </cell>
          <cell r="H47">
            <v>19.870000839233398</v>
          </cell>
          <cell r="I47">
            <v>19.930000305175781</v>
          </cell>
          <cell r="J47">
            <v>19.979999542236328</v>
          </cell>
          <cell r="K47">
            <v>20</v>
          </cell>
          <cell r="L47">
            <v>20</v>
          </cell>
          <cell r="M47">
            <v>19.979999542236328</v>
          </cell>
          <cell r="N47">
            <v>19.959999084472656</v>
          </cell>
        </row>
        <row r="48">
          <cell r="C48">
            <v>19.620000839233398</v>
          </cell>
          <cell r="D48">
            <v>19.799999237060547</v>
          </cell>
          <cell r="E48">
            <v>19.899999618530273</v>
          </cell>
          <cell r="F48">
            <v>19.989999771118164</v>
          </cell>
          <cell r="G48">
            <v>20.079999923706055</v>
          </cell>
          <cell r="H48">
            <v>20.139999389648438</v>
          </cell>
          <cell r="I48">
            <v>20.200000762939453</v>
          </cell>
          <cell r="J48">
            <v>20.25</v>
          </cell>
          <cell r="K48">
            <v>20.270000457763672</v>
          </cell>
          <cell r="L48">
            <v>20.270000457763672</v>
          </cell>
          <cell r="M48">
            <v>20.25</v>
          </cell>
          <cell r="N48">
            <v>20.239999771118164</v>
          </cell>
        </row>
        <row r="49">
          <cell r="C49">
            <v>20.020000457763672</v>
          </cell>
          <cell r="D49">
            <v>20.239999771118164</v>
          </cell>
          <cell r="E49">
            <v>20.309999465942383</v>
          </cell>
          <cell r="F49">
            <v>20.379999160766602</v>
          </cell>
          <cell r="G49">
            <v>20.450000762939453</v>
          </cell>
          <cell r="H49">
            <v>20.5</v>
          </cell>
          <cell r="I49">
            <v>20.540000915527344</v>
          </cell>
          <cell r="J49">
            <v>20.569999694824219</v>
          </cell>
          <cell r="K49">
            <v>20.569999694824219</v>
          </cell>
          <cell r="L49">
            <v>20.559999465942383</v>
          </cell>
          <cell r="M49">
            <v>20.559999465942383</v>
          </cell>
          <cell r="N49">
            <v>20.559999465942383</v>
          </cell>
        </row>
        <row r="50">
          <cell r="C50">
            <v>20.479999542236328</v>
          </cell>
          <cell r="D50">
            <v>20.479999542236328</v>
          </cell>
          <cell r="E50">
            <v>20.510000228881836</v>
          </cell>
          <cell r="F50">
            <v>20.530000686645508</v>
          </cell>
          <cell r="G50">
            <v>20.549999237060547</v>
          </cell>
          <cell r="H50">
            <v>20.569999694824219</v>
          </cell>
          <cell r="I50">
            <v>20.579999923706055</v>
          </cell>
          <cell r="J50">
            <v>20.569999694824219</v>
          </cell>
          <cell r="K50">
            <v>20.549999237060547</v>
          </cell>
          <cell r="L50">
            <v>20.540000915527344</v>
          </cell>
          <cell r="M50">
            <v>20.540000915527344</v>
          </cell>
          <cell r="N50">
            <v>20.540000915527344</v>
          </cell>
        </row>
        <row r="51">
          <cell r="C51">
            <v>20.530000686645508</v>
          </cell>
          <cell r="D51">
            <v>20.549999237060547</v>
          </cell>
          <cell r="E51">
            <v>20.579999923706055</v>
          </cell>
          <cell r="F51">
            <v>20.600000381469727</v>
          </cell>
          <cell r="G51">
            <v>20.610000610351563</v>
          </cell>
          <cell r="H51">
            <v>20.620000839233398</v>
          </cell>
          <cell r="I51">
            <v>20.629999160766602</v>
          </cell>
          <cell r="J51">
            <v>20.620000839233398</v>
          </cell>
          <cell r="K51">
            <v>20.600000381469727</v>
          </cell>
          <cell r="L51">
            <v>20.590000152587891</v>
          </cell>
          <cell r="M51">
            <v>20.579999923706055</v>
          </cell>
          <cell r="N51">
            <v>20.579999923706055</v>
          </cell>
        </row>
        <row r="52">
          <cell r="C52">
            <v>20.610000610351563</v>
          </cell>
          <cell r="D52">
            <v>20.629999160766602</v>
          </cell>
          <cell r="E52">
            <v>20.649999618530273</v>
          </cell>
          <cell r="F52">
            <v>20.659999847412109</v>
          </cell>
          <cell r="G52">
            <v>20.659999847412109</v>
          </cell>
          <cell r="H52">
            <v>20.670000076293945</v>
          </cell>
          <cell r="I52">
            <v>20.680000305175781</v>
          </cell>
          <cell r="J52">
            <v>20.670000076293945</v>
          </cell>
          <cell r="K52">
            <v>20.649999618530273</v>
          </cell>
          <cell r="L52">
            <v>20.629999160766602</v>
          </cell>
          <cell r="M52">
            <v>20.610000610351563</v>
          </cell>
          <cell r="N52">
            <v>20.600000381469727</v>
          </cell>
        </row>
        <row r="53">
          <cell r="C53">
            <v>20.600000381469727</v>
          </cell>
          <cell r="D53">
            <v>20.639999389648438</v>
          </cell>
          <cell r="E53">
            <v>20.670000076293945</v>
          </cell>
          <cell r="F53">
            <v>20.680000305175781</v>
          </cell>
          <cell r="G53">
            <v>20.680000305175781</v>
          </cell>
          <cell r="H53">
            <v>20.690000534057617</v>
          </cell>
          <cell r="I53">
            <v>20.700000762939453</v>
          </cell>
          <cell r="J53">
            <v>20.700000762939453</v>
          </cell>
          <cell r="K53">
            <v>20.680000305175781</v>
          </cell>
          <cell r="L53">
            <v>20.659999847412109</v>
          </cell>
          <cell r="M53">
            <v>20.639999389648438</v>
          </cell>
          <cell r="N53">
            <v>20.620000839233398</v>
          </cell>
        </row>
        <row r="54">
          <cell r="C54">
            <v>20.469999313354492</v>
          </cell>
          <cell r="D54">
            <v>20.540000915527344</v>
          </cell>
          <cell r="E54">
            <v>20.590000152587891</v>
          </cell>
          <cell r="F54">
            <v>20.620000839233398</v>
          </cell>
          <cell r="G54">
            <v>20.629999160766602</v>
          </cell>
          <cell r="H54">
            <v>20.649999618530273</v>
          </cell>
          <cell r="I54">
            <v>20.670000076293945</v>
          </cell>
          <cell r="J54">
            <v>20.670000076293945</v>
          </cell>
          <cell r="K54">
            <v>20.649999618530273</v>
          </cell>
          <cell r="L54">
            <v>20.639999389648438</v>
          </cell>
          <cell r="M54">
            <v>20.629999160766602</v>
          </cell>
          <cell r="N54">
            <v>20.610000610351563</v>
          </cell>
        </row>
        <row r="55">
          <cell r="C55">
            <v>20.479999542236328</v>
          </cell>
          <cell r="D55">
            <v>20.559999465942383</v>
          </cell>
          <cell r="E55">
            <v>20.620000839233398</v>
          </cell>
          <cell r="F55">
            <v>20.649999618530273</v>
          </cell>
          <cell r="G55">
            <v>20.670000076293945</v>
          </cell>
          <cell r="H55">
            <v>20.690000534057617</v>
          </cell>
          <cell r="I55">
            <v>20.709999084472656</v>
          </cell>
          <cell r="J55">
            <v>20.709999084472656</v>
          </cell>
          <cell r="K55">
            <v>20.690000534057617</v>
          </cell>
          <cell r="L55">
            <v>20.670000076293945</v>
          </cell>
          <cell r="M55">
            <v>20.649999618530273</v>
          </cell>
          <cell r="N55">
            <v>20.629999160766602</v>
          </cell>
        </row>
        <row r="56">
          <cell r="C56">
            <v>21.069999694824219</v>
          </cell>
          <cell r="D56">
            <v>21.120000839233398</v>
          </cell>
          <cell r="E56">
            <v>21.139999389648438</v>
          </cell>
          <cell r="F56">
            <v>21.139999389648438</v>
          </cell>
          <cell r="G56">
            <v>21.129999160766602</v>
          </cell>
          <cell r="H56">
            <v>21.129999160766602</v>
          </cell>
          <cell r="I56">
            <v>21.129999160766602</v>
          </cell>
          <cell r="J56">
            <v>21.129999160766602</v>
          </cell>
          <cell r="K56">
            <v>21.110000610351563</v>
          </cell>
          <cell r="L56">
            <v>21.079999923706055</v>
          </cell>
          <cell r="M56">
            <v>21.049999237060547</v>
          </cell>
          <cell r="N56">
            <v>21.030000686645508</v>
          </cell>
        </row>
        <row r="57">
          <cell r="C57">
            <v>20.930000305175781</v>
          </cell>
          <cell r="D57">
            <v>20.969999313354492</v>
          </cell>
          <cell r="E57">
            <v>20.969999313354492</v>
          </cell>
          <cell r="F57">
            <v>20.950000762939453</v>
          </cell>
          <cell r="G57">
            <v>20.920000076293945</v>
          </cell>
          <cell r="H57">
            <v>20.899999618530273</v>
          </cell>
          <cell r="I57">
            <v>20.889999389648438</v>
          </cell>
          <cell r="J57">
            <v>20.879999160766602</v>
          </cell>
          <cell r="K57">
            <v>20.860000610351563</v>
          </cell>
          <cell r="L57">
            <v>20.829999923706055</v>
          </cell>
          <cell r="M57">
            <v>20.799999237060547</v>
          </cell>
          <cell r="N57">
            <v>20.770000457763672</v>
          </cell>
        </row>
        <row r="58">
          <cell r="C58">
            <v>20.709999084472656</v>
          </cell>
          <cell r="D58">
            <v>20.799999237060547</v>
          </cell>
          <cell r="E58">
            <v>20.829999923706055</v>
          </cell>
          <cell r="F58">
            <v>20.829999923706055</v>
          </cell>
          <cell r="G58">
            <v>20.819999694824219</v>
          </cell>
          <cell r="H58">
            <v>20.809999465942383</v>
          </cell>
          <cell r="I58">
            <v>20.799999237060547</v>
          </cell>
          <cell r="J58">
            <v>20.790000915527344</v>
          </cell>
          <cell r="K58">
            <v>20.770000457763672</v>
          </cell>
          <cell r="L58">
            <v>20.739999771118164</v>
          </cell>
          <cell r="M58">
            <v>20.709999084472656</v>
          </cell>
          <cell r="N58">
            <v>20.690000534057617</v>
          </cell>
        </row>
        <row r="59">
          <cell r="C59">
            <v>20.680000305175781</v>
          </cell>
          <cell r="D59">
            <v>20.760000228881836</v>
          </cell>
          <cell r="E59">
            <v>20.799999237060547</v>
          </cell>
          <cell r="F59">
            <v>20.809999465942383</v>
          </cell>
          <cell r="G59">
            <v>20.809999465942383</v>
          </cell>
          <cell r="H59">
            <v>20.799999237060547</v>
          </cell>
          <cell r="I59">
            <v>20.790000915527344</v>
          </cell>
          <cell r="J59">
            <v>20.780000686645508</v>
          </cell>
          <cell r="K59">
            <v>20.760000228881836</v>
          </cell>
          <cell r="L59">
            <v>20.729999542236328</v>
          </cell>
          <cell r="M59">
            <v>20.700000762939453</v>
          </cell>
          <cell r="N59">
            <v>20.680000305175781</v>
          </cell>
        </row>
        <row r="60">
          <cell r="C60">
            <v>20.389999389648438</v>
          </cell>
          <cell r="D60">
            <v>20.459999084472656</v>
          </cell>
          <cell r="E60">
            <v>20.510000228881836</v>
          </cell>
          <cell r="F60">
            <v>20.530000686645508</v>
          </cell>
          <cell r="G60">
            <v>20.540000915527344</v>
          </cell>
          <cell r="H60">
            <v>20.540000915527344</v>
          </cell>
          <cell r="I60">
            <v>20.540000915527344</v>
          </cell>
          <cell r="J60">
            <v>20.530000686645508</v>
          </cell>
          <cell r="K60">
            <v>20.520000457763672</v>
          </cell>
          <cell r="L60">
            <v>20.489999771118164</v>
          </cell>
          <cell r="M60">
            <v>20.459999084472656</v>
          </cell>
          <cell r="N60">
            <v>20.440000534057617</v>
          </cell>
        </row>
        <row r="61">
          <cell r="C61">
            <v>20.129999160766602</v>
          </cell>
          <cell r="D61">
            <v>20.239999771118164</v>
          </cell>
          <cell r="E61">
            <v>20.299999237060547</v>
          </cell>
          <cell r="F61">
            <v>20.329999923706055</v>
          </cell>
          <cell r="G61">
            <v>20.350000381469727</v>
          </cell>
          <cell r="H61">
            <v>20.360000610351563</v>
          </cell>
          <cell r="I61">
            <v>20.360000610351563</v>
          </cell>
          <cell r="J61">
            <v>20.360000610351563</v>
          </cell>
          <cell r="K61">
            <v>20.350000381469727</v>
          </cell>
          <cell r="L61">
            <v>20.329999923706055</v>
          </cell>
          <cell r="M61">
            <v>20.299999237060547</v>
          </cell>
          <cell r="N61">
            <v>20.280000686645508</v>
          </cell>
        </row>
        <row r="62">
          <cell r="C62">
            <v>20.290000915527344</v>
          </cell>
          <cell r="D62">
            <v>20.409999847412109</v>
          </cell>
          <cell r="E62">
            <v>20.469999313354492</v>
          </cell>
          <cell r="F62">
            <v>20.510000228881836</v>
          </cell>
          <cell r="G62">
            <v>20.530000686645508</v>
          </cell>
          <cell r="H62">
            <v>20.530000686645508</v>
          </cell>
          <cell r="I62">
            <v>20.520000457763672</v>
          </cell>
          <cell r="J62">
            <v>20.510000228881836</v>
          </cell>
          <cell r="K62">
            <v>20.489999771118164</v>
          </cell>
          <cell r="L62">
            <v>20.459999084472656</v>
          </cell>
          <cell r="M62">
            <v>20.430000305175781</v>
          </cell>
          <cell r="N62">
            <v>20.409999847412109</v>
          </cell>
        </row>
        <row r="63">
          <cell r="C63">
            <v>20.159999847412109</v>
          </cell>
          <cell r="D63">
            <v>20.299999237060547</v>
          </cell>
          <cell r="E63">
            <v>20.370000839233398</v>
          </cell>
          <cell r="F63">
            <v>20.420000076293945</v>
          </cell>
          <cell r="G63">
            <v>20.450000762939453</v>
          </cell>
          <cell r="H63">
            <v>20.450000762939453</v>
          </cell>
          <cell r="I63">
            <v>20.440000534057617</v>
          </cell>
          <cell r="J63">
            <v>20.430000305175781</v>
          </cell>
          <cell r="K63">
            <v>20.409999847412109</v>
          </cell>
          <cell r="L63">
            <v>20.379999160766602</v>
          </cell>
          <cell r="M63">
            <v>20.350000381469727</v>
          </cell>
          <cell r="N63">
            <v>20.329999923706055</v>
          </cell>
        </row>
        <row r="64">
          <cell r="C64">
            <v>20.129999160766602</v>
          </cell>
          <cell r="D64">
            <v>20.260000228881836</v>
          </cell>
          <cell r="E64">
            <v>20.319999694824219</v>
          </cell>
          <cell r="F64">
            <v>20.379999160766602</v>
          </cell>
          <cell r="G64">
            <v>20.409999847412109</v>
          </cell>
          <cell r="H64">
            <v>20.399999618530273</v>
          </cell>
          <cell r="I64">
            <v>20.389999389648438</v>
          </cell>
          <cell r="J64">
            <v>20.379999160766602</v>
          </cell>
          <cell r="K64">
            <v>20.360000610351563</v>
          </cell>
          <cell r="L64">
            <v>20.329999923706055</v>
          </cell>
          <cell r="M64">
            <v>20.299999237060547</v>
          </cell>
          <cell r="N64">
            <v>20.280000686645508</v>
          </cell>
        </row>
        <row r="65">
          <cell r="C65">
            <v>20.170000076293945</v>
          </cell>
          <cell r="D65">
            <v>20.299999237060547</v>
          </cell>
          <cell r="E65">
            <v>20.360000610351563</v>
          </cell>
          <cell r="F65">
            <v>20.399999618530273</v>
          </cell>
          <cell r="G65">
            <v>20.420000076293945</v>
          </cell>
          <cell r="H65">
            <v>20.399999618530273</v>
          </cell>
          <cell r="I65">
            <v>20.389999389648438</v>
          </cell>
          <cell r="J65">
            <v>20.370000839233398</v>
          </cell>
          <cell r="K65">
            <v>20.350000381469727</v>
          </cell>
          <cell r="L65">
            <v>20.319999694824219</v>
          </cell>
          <cell r="M65">
            <v>20.290000915527344</v>
          </cell>
          <cell r="N65">
            <v>20.270000457763672</v>
          </cell>
        </row>
        <row r="66">
          <cell r="C66">
            <v>20.290000915527344</v>
          </cell>
          <cell r="D66">
            <v>20.440000534057617</v>
          </cell>
          <cell r="E66">
            <v>20.5</v>
          </cell>
          <cell r="F66">
            <v>20.530000686645508</v>
          </cell>
          <cell r="G66">
            <v>20.540000915527344</v>
          </cell>
          <cell r="H66">
            <v>20.520000457763672</v>
          </cell>
          <cell r="I66">
            <v>20.5</v>
          </cell>
          <cell r="J66">
            <v>20.469999313354492</v>
          </cell>
          <cell r="K66">
            <v>20.440000534057617</v>
          </cell>
          <cell r="L66">
            <v>20.409999847412109</v>
          </cell>
          <cell r="M66">
            <v>20.379999160766602</v>
          </cell>
          <cell r="N66">
            <v>20.360000610351563</v>
          </cell>
        </row>
        <row r="67">
          <cell r="C67">
            <v>20.079999923706055</v>
          </cell>
          <cell r="D67">
            <v>20.219999313354492</v>
          </cell>
          <cell r="E67">
            <v>20.309999465942383</v>
          </cell>
          <cell r="F67">
            <v>20.350000381469727</v>
          </cell>
          <cell r="G67">
            <v>20.370000839233398</v>
          </cell>
          <cell r="H67">
            <v>20.360000610351563</v>
          </cell>
          <cell r="I67">
            <v>20.350000381469727</v>
          </cell>
          <cell r="J67">
            <v>20.329999923706055</v>
          </cell>
          <cell r="K67">
            <v>20.299999237060547</v>
          </cell>
          <cell r="L67">
            <v>20.270000457763672</v>
          </cell>
          <cell r="M67">
            <v>20.239999771118164</v>
          </cell>
          <cell r="N67">
            <v>20.219999313354492</v>
          </cell>
        </row>
        <row r="68">
          <cell r="C68">
            <v>19.520000457763672</v>
          </cell>
          <cell r="D68">
            <v>19.760000228881836</v>
          </cell>
          <cell r="E68">
            <v>19.860000610351563</v>
          </cell>
          <cell r="F68">
            <v>19.930000305175781</v>
          </cell>
          <cell r="G68">
            <v>19.979999542236328</v>
          </cell>
          <cell r="H68">
            <v>19.979999542236328</v>
          </cell>
          <cell r="I68">
            <v>19.979999542236328</v>
          </cell>
          <cell r="J68">
            <v>19.969999313354492</v>
          </cell>
          <cell r="K68">
            <v>19.959999084472656</v>
          </cell>
          <cell r="L68">
            <v>19.940000534057617</v>
          </cell>
          <cell r="M68">
            <v>19.920000076293945</v>
          </cell>
          <cell r="N68">
            <v>19.909999847412109</v>
          </cell>
        </row>
        <row r="69">
          <cell r="C69">
            <v>20.030000686645508</v>
          </cell>
          <cell r="D69">
            <v>20.120000839233398</v>
          </cell>
          <cell r="E69">
            <v>20.180000305175781</v>
          </cell>
          <cell r="F69">
            <v>20.229999542236328</v>
          </cell>
          <cell r="G69">
            <v>20.229999542236328</v>
          </cell>
          <cell r="H69">
            <v>20.219999313354492</v>
          </cell>
          <cell r="I69">
            <v>20.209999084472656</v>
          </cell>
          <cell r="J69">
            <v>20.200000762939453</v>
          </cell>
          <cell r="K69">
            <v>20.180000305175781</v>
          </cell>
          <cell r="L69">
            <v>20.159999847412109</v>
          </cell>
          <cell r="M69">
            <v>20.149999618530273</v>
          </cell>
          <cell r="N69">
            <v>20.139999389648438</v>
          </cell>
        </row>
        <row r="70">
          <cell r="C70">
            <v>20.239999771118164</v>
          </cell>
          <cell r="D70">
            <v>20.309999465942383</v>
          </cell>
          <cell r="E70">
            <v>20.350000381469727</v>
          </cell>
          <cell r="F70">
            <v>20.379999160766602</v>
          </cell>
          <cell r="G70">
            <v>20.370000839233398</v>
          </cell>
          <cell r="H70">
            <v>20.360000610351563</v>
          </cell>
          <cell r="I70">
            <v>20.350000381469727</v>
          </cell>
          <cell r="J70">
            <v>20.329999923706055</v>
          </cell>
          <cell r="K70">
            <v>20.309999465942383</v>
          </cell>
          <cell r="L70">
            <v>20.290000915527344</v>
          </cell>
          <cell r="M70">
            <v>20.270000457763672</v>
          </cell>
          <cell r="N70">
            <v>20.25</v>
          </cell>
        </row>
        <row r="71">
          <cell r="C71">
            <v>20.409999847412109</v>
          </cell>
          <cell r="D71">
            <v>20.5</v>
          </cell>
          <cell r="E71">
            <v>20.520000457763672</v>
          </cell>
          <cell r="F71">
            <v>20.540000915527344</v>
          </cell>
          <cell r="G71">
            <v>20.520000457763672</v>
          </cell>
          <cell r="H71">
            <v>20.5</v>
          </cell>
          <cell r="I71">
            <v>20.479999542236328</v>
          </cell>
          <cell r="J71">
            <v>20.459999084472656</v>
          </cell>
          <cell r="K71">
            <v>20.430000305175781</v>
          </cell>
          <cell r="L71">
            <v>20.409999847412109</v>
          </cell>
          <cell r="M71">
            <v>20.389999389648438</v>
          </cell>
          <cell r="N71">
            <v>20.370000839233398</v>
          </cell>
        </row>
        <row r="72">
          <cell r="C72">
            <v>20.409999847412109</v>
          </cell>
          <cell r="D72">
            <v>20.510000228881836</v>
          </cell>
          <cell r="E72">
            <v>20.530000686645508</v>
          </cell>
          <cell r="F72">
            <v>20.549999237060547</v>
          </cell>
          <cell r="G72">
            <v>20.530000686645508</v>
          </cell>
          <cell r="H72">
            <v>20.510000228881836</v>
          </cell>
          <cell r="I72">
            <v>20.489999771118164</v>
          </cell>
          <cell r="J72">
            <v>20.469999313354492</v>
          </cell>
          <cell r="K72">
            <v>20.440000534057617</v>
          </cell>
          <cell r="L72">
            <v>20.409999847412109</v>
          </cell>
          <cell r="M72">
            <v>20.389999389648438</v>
          </cell>
          <cell r="N72">
            <v>20.370000839233398</v>
          </cell>
        </row>
        <row r="73">
          <cell r="C73">
            <v>20.290000915527344</v>
          </cell>
          <cell r="D73">
            <v>20.420000076293945</v>
          </cell>
          <cell r="E73">
            <v>20.459999084472656</v>
          </cell>
          <cell r="F73">
            <v>20.489999771118164</v>
          </cell>
          <cell r="G73">
            <v>20.479999542236328</v>
          </cell>
          <cell r="H73">
            <v>20.459999084472656</v>
          </cell>
          <cell r="I73">
            <v>20.440000534057617</v>
          </cell>
          <cell r="J73">
            <v>20.420000076293945</v>
          </cell>
          <cell r="K73">
            <v>20.389999389648438</v>
          </cell>
          <cell r="L73">
            <v>20.360000610351563</v>
          </cell>
          <cell r="M73">
            <v>20.340000152587891</v>
          </cell>
          <cell r="N73">
            <v>20.319999694824219</v>
          </cell>
        </row>
        <row r="74">
          <cell r="C74">
            <v>20.280000686645508</v>
          </cell>
          <cell r="D74">
            <v>20.469999313354492</v>
          </cell>
          <cell r="E74">
            <v>20.520000457763672</v>
          </cell>
          <cell r="F74">
            <v>20.559999465942383</v>
          </cell>
          <cell r="G74">
            <v>20.559999465942383</v>
          </cell>
          <cell r="H74">
            <v>20.549999237060547</v>
          </cell>
          <cell r="I74">
            <v>20.530000686645508</v>
          </cell>
          <cell r="J74">
            <v>20.510000228881836</v>
          </cell>
          <cell r="K74">
            <v>20.479999542236328</v>
          </cell>
          <cell r="L74">
            <v>20.459999084472656</v>
          </cell>
          <cell r="M74">
            <v>20.440000534057617</v>
          </cell>
          <cell r="N74">
            <v>20.420000076293945</v>
          </cell>
        </row>
        <row r="75">
          <cell r="C75">
            <v>20.440000534057617</v>
          </cell>
          <cell r="D75">
            <v>20.639999389648438</v>
          </cell>
          <cell r="E75">
            <v>20.700000762939453</v>
          </cell>
          <cell r="F75">
            <v>20.739999771118164</v>
          </cell>
          <cell r="G75">
            <v>20.739999771118164</v>
          </cell>
          <cell r="H75">
            <v>20.729999542236328</v>
          </cell>
          <cell r="I75">
            <v>20.709999084472656</v>
          </cell>
          <cell r="J75">
            <v>20.690000534057617</v>
          </cell>
          <cell r="K75">
            <v>20.659999847412109</v>
          </cell>
          <cell r="L75">
            <v>20.639999389648438</v>
          </cell>
          <cell r="M75">
            <v>20.620000839233398</v>
          </cell>
          <cell r="N75">
            <v>20.600000381469727</v>
          </cell>
        </row>
        <row r="76">
          <cell r="C76">
            <v>20.520000457763672</v>
          </cell>
          <cell r="D76">
            <v>20.700000762939453</v>
          </cell>
          <cell r="E76">
            <v>20.760000228881836</v>
          </cell>
          <cell r="F76">
            <v>20.790000915527344</v>
          </cell>
          <cell r="G76">
            <v>20.790000915527344</v>
          </cell>
          <cell r="H76">
            <v>20.770000457763672</v>
          </cell>
          <cell r="I76">
            <v>20.75</v>
          </cell>
          <cell r="J76">
            <v>20.729999542236328</v>
          </cell>
          <cell r="K76">
            <v>20.700000762939453</v>
          </cell>
          <cell r="L76">
            <v>20.680000305175781</v>
          </cell>
          <cell r="M76">
            <v>20.659999847412109</v>
          </cell>
          <cell r="N76">
            <v>20.639999389648438</v>
          </cell>
        </row>
        <row r="77">
          <cell r="C77">
            <v>20.649999618530273</v>
          </cell>
          <cell r="D77">
            <v>20.829999923706055</v>
          </cell>
          <cell r="E77">
            <v>20.879999160766602</v>
          </cell>
          <cell r="F77">
            <v>20.899999618530273</v>
          </cell>
          <cell r="G77">
            <v>20.889999389648438</v>
          </cell>
          <cell r="H77">
            <v>20.870000839233398</v>
          </cell>
          <cell r="I77">
            <v>20.850000381469727</v>
          </cell>
          <cell r="J77">
            <v>20.829999923706055</v>
          </cell>
          <cell r="K77">
            <v>20.799999237060547</v>
          </cell>
          <cell r="L77">
            <v>20.770000457763672</v>
          </cell>
          <cell r="M77">
            <v>20.75</v>
          </cell>
          <cell r="N77">
            <v>20.729999542236328</v>
          </cell>
        </row>
        <row r="78">
          <cell r="C78">
            <v>20.620000839233398</v>
          </cell>
          <cell r="D78">
            <v>20.799999237060547</v>
          </cell>
          <cell r="E78">
            <v>20.860000610351563</v>
          </cell>
          <cell r="F78">
            <v>20.889999389648438</v>
          </cell>
          <cell r="G78">
            <v>20.889999389648438</v>
          </cell>
          <cell r="H78">
            <v>20.879999160766602</v>
          </cell>
          <cell r="I78">
            <v>20.860000610351563</v>
          </cell>
          <cell r="J78">
            <v>20.840000152587891</v>
          </cell>
          <cell r="K78">
            <v>20.809999465942383</v>
          </cell>
          <cell r="L78">
            <v>20.780000686645508</v>
          </cell>
          <cell r="M78">
            <v>20.760000228881836</v>
          </cell>
          <cell r="N78">
            <v>20.739999771118164</v>
          </cell>
        </row>
        <row r="79">
          <cell r="C79">
            <v>20.299999237060547</v>
          </cell>
          <cell r="D79">
            <v>20.489999771118164</v>
          </cell>
          <cell r="E79">
            <v>20.579999923706055</v>
          </cell>
          <cell r="F79">
            <v>20.629999160766602</v>
          </cell>
          <cell r="G79">
            <v>20.649999618530273</v>
          </cell>
          <cell r="H79">
            <v>20.649999618530273</v>
          </cell>
          <cell r="I79">
            <v>20.639999389648438</v>
          </cell>
          <cell r="J79">
            <v>20.629999160766602</v>
          </cell>
          <cell r="K79">
            <v>20.600000381469727</v>
          </cell>
          <cell r="L79">
            <v>20.579999923706055</v>
          </cell>
          <cell r="M79">
            <v>20.559999465942383</v>
          </cell>
          <cell r="N79">
            <v>20.540000915527344</v>
          </cell>
        </row>
        <row r="80">
          <cell r="C80">
            <v>20.370000839233398</v>
          </cell>
          <cell r="D80">
            <v>20.540000915527344</v>
          </cell>
          <cell r="E80">
            <v>20.620000839233398</v>
          </cell>
          <cell r="F80">
            <v>20.670000076293945</v>
          </cell>
          <cell r="G80">
            <v>20.690000534057617</v>
          </cell>
          <cell r="H80">
            <v>20.690000534057617</v>
          </cell>
          <cell r="I80">
            <v>20.680000305175781</v>
          </cell>
          <cell r="J80">
            <v>20.670000076293945</v>
          </cell>
          <cell r="K80">
            <v>20.639999389648438</v>
          </cell>
          <cell r="L80">
            <v>20.620000839233398</v>
          </cell>
          <cell r="M80">
            <v>20.600000381469727</v>
          </cell>
          <cell r="N80">
            <v>20.579999923706055</v>
          </cell>
        </row>
        <row r="81">
          <cell r="C81">
            <v>20.219999313354492</v>
          </cell>
          <cell r="D81">
            <v>20.399999618530273</v>
          </cell>
          <cell r="E81">
            <v>20.479999542236328</v>
          </cell>
          <cell r="F81">
            <v>20.540000915527344</v>
          </cell>
          <cell r="G81">
            <v>20.569999694824219</v>
          </cell>
          <cell r="H81">
            <v>20.579999923706055</v>
          </cell>
          <cell r="I81">
            <v>20.579999923706055</v>
          </cell>
          <cell r="J81">
            <v>20.569999694824219</v>
          </cell>
          <cell r="K81">
            <v>20.549999237060547</v>
          </cell>
          <cell r="L81">
            <v>20.530000686645508</v>
          </cell>
          <cell r="M81">
            <v>20.510000228881836</v>
          </cell>
          <cell r="N81">
            <v>20.489999771118164</v>
          </cell>
        </row>
        <row r="82">
          <cell r="C82">
            <v>20.459999084472656</v>
          </cell>
          <cell r="D82">
            <v>20.659999847412109</v>
          </cell>
          <cell r="E82">
            <v>20.739999771118164</v>
          </cell>
          <cell r="F82">
            <v>20.799999237060547</v>
          </cell>
          <cell r="G82">
            <v>20.829999923706055</v>
          </cell>
          <cell r="H82">
            <v>20.840000152587891</v>
          </cell>
          <cell r="I82">
            <v>20.840000152587891</v>
          </cell>
          <cell r="J82">
            <v>20.829999923706055</v>
          </cell>
          <cell r="K82">
            <v>20.799999237060547</v>
          </cell>
          <cell r="L82">
            <v>20.780000686645508</v>
          </cell>
          <cell r="M82">
            <v>20.760000228881836</v>
          </cell>
          <cell r="N82">
            <v>20.739999771118164</v>
          </cell>
        </row>
        <row r="83">
          <cell r="C83">
            <v>20.459999084472656</v>
          </cell>
          <cell r="D83">
            <v>20.659999847412109</v>
          </cell>
          <cell r="E83">
            <v>20.739999771118164</v>
          </cell>
          <cell r="F83">
            <v>20.780000686645508</v>
          </cell>
          <cell r="G83">
            <v>20.809999465942383</v>
          </cell>
          <cell r="H83">
            <v>20.819999694824219</v>
          </cell>
          <cell r="I83">
            <v>20.819999694824219</v>
          </cell>
          <cell r="J83">
            <v>20.809999465942383</v>
          </cell>
          <cell r="K83">
            <v>20.780000686645508</v>
          </cell>
          <cell r="L83">
            <v>20.75</v>
          </cell>
          <cell r="M83">
            <v>20.719999313354492</v>
          </cell>
          <cell r="N83">
            <v>20.700000762939453</v>
          </cell>
        </row>
        <row r="84">
          <cell r="C84">
            <v>20.399999618530273</v>
          </cell>
          <cell r="D84">
            <v>20.600000381469727</v>
          </cell>
          <cell r="E84">
            <v>20.700000762939453</v>
          </cell>
          <cell r="F84">
            <v>20.75</v>
          </cell>
          <cell r="G84">
            <v>20.780000686645508</v>
          </cell>
          <cell r="H84">
            <v>20.790000915527344</v>
          </cell>
          <cell r="I84">
            <v>20.790000915527344</v>
          </cell>
          <cell r="J84">
            <v>20.790000915527344</v>
          </cell>
          <cell r="K84">
            <v>20.770000457763672</v>
          </cell>
          <cell r="L84">
            <v>20.75</v>
          </cell>
          <cell r="M84">
            <v>20.729999542236328</v>
          </cell>
          <cell r="N84">
            <v>20.709999084472656</v>
          </cell>
        </row>
        <row r="85">
          <cell r="C85">
            <v>20.219999313354492</v>
          </cell>
          <cell r="D85">
            <v>20.420000076293945</v>
          </cell>
          <cell r="E85">
            <v>20.559999465942383</v>
          </cell>
          <cell r="F85">
            <v>20.629999160766602</v>
          </cell>
          <cell r="G85">
            <v>20.680000305175781</v>
          </cell>
          <cell r="H85">
            <v>20.709999084472656</v>
          </cell>
          <cell r="I85">
            <v>20.719999313354492</v>
          </cell>
          <cell r="J85">
            <v>20.729999542236328</v>
          </cell>
          <cell r="K85">
            <v>20.709999084472656</v>
          </cell>
          <cell r="L85">
            <v>20.690000534057617</v>
          </cell>
          <cell r="M85">
            <v>20.670000076293945</v>
          </cell>
          <cell r="N85">
            <v>20.659999847412109</v>
          </cell>
        </row>
        <row r="86">
          <cell r="C86">
            <v>20.139999389648438</v>
          </cell>
          <cell r="D86">
            <v>20.379999160766602</v>
          </cell>
          <cell r="E86">
            <v>20.520000457763672</v>
          </cell>
          <cell r="F86">
            <v>20.600000381469727</v>
          </cell>
          <cell r="G86">
            <v>20.649999618530273</v>
          </cell>
          <cell r="H86">
            <v>20.690000534057617</v>
          </cell>
          <cell r="I86">
            <v>20.700000762939453</v>
          </cell>
          <cell r="J86">
            <v>20.709999084472656</v>
          </cell>
          <cell r="K86">
            <v>20.690000534057617</v>
          </cell>
          <cell r="L86">
            <v>20.670000076293945</v>
          </cell>
          <cell r="M86">
            <v>20.649999618530273</v>
          </cell>
          <cell r="N86">
            <v>20.639999389648438</v>
          </cell>
        </row>
        <row r="87">
          <cell r="C87">
            <v>19.989999771118164</v>
          </cell>
          <cell r="D87">
            <v>20.290000915527344</v>
          </cell>
          <cell r="E87">
            <v>20.430000305175781</v>
          </cell>
          <cell r="F87">
            <v>20.520000457763672</v>
          </cell>
          <cell r="G87">
            <v>20.579999923706055</v>
          </cell>
          <cell r="H87">
            <v>20.629999160766602</v>
          </cell>
          <cell r="I87">
            <v>20.649999618530273</v>
          </cell>
          <cell r="J87">
            <v>20.659999847412109</v>
          </cell>
          <cell r="K87">
            <v>20.649999618530273</v>
          </cell>
          <cell r="L87">
            <v>20.639999389648438</v>
          </cell>
          <cell r="M87">
            <v>20.629999160766602</v>
          </cell>
          <cell r="N87">
            <v>20.620000839233398</v>
          </cell>
        </row>
        <row r="88">
          <cell r="C88">
            <v>19.840000152587891</v>
          </cell>
          <cell r="D88">
            <v>20.319999694824219</v>
          </cell>
          <cell r="E88">
            <v>20.459999084472656</v>
          </cell>
          <cell r="F88">
            <v>20.559999465942383</v>
          </cell>
          <cell r="G88">
            <v>20.629999160766602</v>
          </cell>
          <cell r="H88">
            <v>20.680000305175781</v>
          </cell>
          <cell r="I88">
            <v>20.709999084472656</v>
          </cell>
          <cell r="J88">
            <v>20.729999542236328</v>
          </cell>
          <cell r="K88">
            <v>20.719999313354492</v>
          </cell>
          <cell r="L88">
            <v>20.709999084472656</v>
          </cell>
          <cell r="M88">
            <v>20.700000762939453</v>
          </cell>
          <cell r="N88">
            <v>20.690000534057617</v>
          </cell>
        </row>
        <row r="89">
          <cell r="C89">
            <v>20.370000839233398</v>
          </cell>
          <cell r="D89">
            <v>20.530000686645508</v>
          </cell>
          <cell r="E89">
            <v>20.629999160766602</v>
          </cell>
          <cell r="F89">
            <v>20.690000534057617</v>
          </cell>
          <cell r="G89">
            <v>20.729999542236328</v>
          </cell>
          <cell r="H89">
            <v>20.75</v>
          </cell>
          <cell r="I89">
            <v>20.760000228881836</v>
          </cell>
          <cell r="J89">
            <v>20.75</v>
          </cell>
          <cell r="K89">
            <v>20.739999771118164</v>
          </cell>
          <cell r="L89">
            <v>20.729999542236328</v>
          </cell>
          <cell r="M89">
            <v>20.719999313354492</v>
          </cell>
          <cell r="N89">
            <v>20.709999084472656</v>
          </cell>
        </row>
        <row r="90">
          <cell r="C90">
            <v>20.149999618530273</v>
          </cell>
          <cell r="D90">
            <v>20.329999923706055</v>
          </cell>
          <cell r="E90">
            <v>20.450000762939453</v>
          </cell>
          <cell r="F90">
            <v>20.530000686645508</v>
          </cell>
          <cell r="G90">
            <v>20.569999694824219</v>
          </cell>
          <cell r="H90">
            <v>20.590000152587891</v>
          </cell>
          <cell r="I90">
            <v>20.600000381469727</v>
          </cell>
          <cell r="J90">
            <v>20.590000152587891</v>
          </cell>
          <cell r="K90">
            <v>20.579999923706055</v>
          </cell>
          <cell r="L90">
            <v>20.569999694824219</v>
          </cell>
          <cell r="M90">
            <v>20.559999465942383</v>
          </cell>
          <cell r="N90">
            <v>20.549999237060547</v>
          </cell>
        </row>
        <row r="91">
          <cell r="C91">
            <v>20.340000152587891</v>
          </cell>
          <cell r="D91">
            <v>20.510000228881836</v>
          </cell>
          <cell r="E91">
            <v>20.629999160766602</v>
          </cell>
          <cell r="F91">
            <v>20.700000762939453</v>
          </cell>
          <cell r="G91">
            <v>20.739999771118164</v>
          </cell>
          <cell r="H91">
            <v>20.760000228881836</v>
          </cell>
          <cell r="I91">
            <v>20.770000457763672</v>
          </cell>
          <cell r="J91">
            <v>20.760000228881836</v>
          </cell>
          <cell r="K91">
            <v>20.739999771118164</v>
          </cell>
          <cell r="L91">
            <v>20.719999313354492</v>
          </cell>
          <cell r="M91">
            <v>20.709999084472656</v>
          </cell>
          <cell r="N91">
            <v>20.700000762939453</v>
          </cell>
        </row>
        <row r="92">
          <cell r="C92">
            <v>20.299999237060547</v>
          </cell>
          <cell r="D92">
            <v>20.489999771118164</v>
          </cell>
          <cell r="E92">
            <v>20.620000839233398</v>
          </cell>
          <cell r="F92">
            <v>20.700000762939453</v>
          </cell>
          <cell r="G92">
            <v>20.739999771118164</v>
          </cell>
          <cell r="H92">
            <v>20.760000228881836</v>
          </cell>
          <cell r="I92">
            <v>20.760000228881836</v>
          </cell>
          <cell r="J92">
            <v>20.739999771118164</v>
          </cell>
          <cell r="K92">
            <v>20.719999313354492</v>
          </cell>
          <cell r="L92">
            <v>20.700000762939453</v>
          </cell>
          <cell r="M92">
            <v>20.690000534057617</v>
          </cell>
          <cell r="N92">
            <v>20.680000305175781</v>
          </cell>
        </row>
        <row r="93">
          <cell r="C93">
            <v>20.180000305175781</v>
          </cell>
          <cell r="D93">
            <v>20.379999160766602</v>
          </cell>
          <cell r="E93">
            <v>20.530000686645508</v>
          </cell>
          <cell r="F93">
            <v>20.620000839233398</v>
          </cell>
          <cell r="G93">
            <v>20.670000076293945</v>
          </cell>
          <cell r="H93">
            <v>20.700000762939453</v>
          </cell>
          <cell r="I93">
            <v>20.700000762939453</v>
          </cell>
          <cell r="J93">
            <v>20.680000305175781</v>
          </cell>
          <cell r="K93">
            <v>20.659999847412109</v>
          </cell>
          <cell r="L93">
            <v>20.639999389648438</v>
          </cell>
          <cell r="M93">
            <v>20.629999160766602</v>
          </cell>
          <cell r="N93">
            <v>20.620000839233398</v>
          </cell>
        </row>
        <row r="94">
          <cell r="C94">
            <v>20.190000534057617</v>
          </cell>
          <cell r="D94">
            <v>20.389999389648438</v>
          </cell>
          <cell r="E94">
            <v>20.540000915527344</v>
          </cell>
          <cell r="F94">
            <v>20.629999160766602</v>
          </cell>
          <cell r="G94">
            <v>20.680000305175781</v>
          </cell>
          <cell r="H94">
            <v>20.709999084472656</v>
          </cell>
          <cell r="I94">
            <v>20.709999084472656</v>
          </cell>
          <cell r="J94">
            <v>20.690000534057617</v>
          </cell>
          <cell r="K94">
            <v>20.670000076293945</v>
          </cell>
          <cell r="L94">
            <v>20.649999618530273</v>
          </cell>
          <cell r="M94">
            <v>20.629999160766602</v>
          </cell>
          <cell r="N94">
            <v>20.620000839233398</v>
          </cell>
        </row>
        <row r="95">
          <cell r="C95">
            <v>20.579999923706055</v>
          </cell>
          <cell r="D95">
            <v>20.729999542236328</v>
          </cell>
          <cell r="E95">
            <v>20.840000152587891</v>
          </cell>
          <cell r="F95">
            <v>20.899999618530273</v>
          </cell>
          <cell r="G95">
            <v>20.930000305175781</v>
          </cell>
          <cell r="H95">
            <v>20.950000762939453</v>
          </cell>
          <cell r="I95">
            <v>20.950000762939453</v>
          </cell>
          <cell r="J95">
            <v>20.920000076293945</v>
          </cell>
          <cell r="K95">
            <v>20.899999618530273</v>
          </cell>
          <cell r="L95">
            <v>20.879999160766602</v>
          </cell>
          <cell r="M95">
            <v>20.860000610351563</v>
          </cell>
          <cell r="N95">
            <v>20.850000381469727</v>
          </cell>
        </row>
        <row r="96">
          <cell r="C96">
            <v>20.530000686645508</v>
          </cell>
          <cell r="D96">
            <v>20.700000762939453</v>
          </cell>
          <cell r="E96">
            <v>20.799999237060547</v>
          </cell>
          <cell r="F96">
            <v>20.840000152587891</v>
          </cell>
          <cell r="G96">
            <v>20.850000381469727</v>
          </cell>
          <cell r="H96">
            <v>20.860000610351563</v>
          </cell>
          <cell r="I96">
            <v>20.850000381469727</v>
          </cell>
          <cell r="J96">
            <v>20.819999694824219</v>
          </cell>
          <cell r="K96">
            <v>20.799999237060547</v>
          </cell>
          <cell r="L96">
            <v>20.770000457763672</v>
          </cell>
          <cell r="M96">
            <v>20.75</v>
          </cell>
          <cell r="N96">
            <v>20.739999771118164</v>
          </cell>
        </row>
        <row r="97">
          <cell r="C97">
            <v>20.569999694824219</v>
          </cell>
          <cell r="D97">
            <v>20.719999313354492</v>
          </cell>
          <cell r="E97">
            <v>20.819999694824219</v>
          </cell>
          <cell r="F97">
            <v>20.860000610351563</v>
          </cell>
          <cell r="G97">
            <v>20.870000839233398</v>
          </cell>
          <cell r="H97">
            <v>20.879999160766602</v>
          </cell>
          <cell r="I97">
            <v>20.870000839233398</v>
          </cell>
          <cell r="J97">
            <v>20.850000381469727</v>
          </cell>
          <cell r="K97">
            <v>20.829999923706055</v>
          </cell>
          <cell r="L97">
            <v>20.799999237060547</v>
          </cell>
          <cell r="M97">
            <v>20.770000457763672</v>
          </cell>
          <cell r="N97">
            <v>20.760000228881836</v>
          </cell>
        </row>
        <row r="98">
          <cell r="C98">
            <v>20.389999389648438</v>
          </cell>
          <cell r="D98">
            <v>20.559999465942383</v>
          </cell>
          <cell r="E98">
            <v>20.670000076293945</v>
          </cell>
          <cell r="F98">
            <v>20.719999313354492</v>
          </cell>
          <cell r="G98">
            <v>20.729999542236328</v>
          </cell>
          <cell r="H98">
            <v>20.739999771118164</v>
          </cell>
          <cell r="I98">
            <v>20.729999542236328</v>
          </cell>
          <cell r="J98">
            <v>20.709999084472656</v>
          </cell>
          <cell r="K98">
            <v>20.680000305175781</v>
          </cell>
          <cell r="L98">
            <v>20.649999618530273</v>
          </cell>
          <cell r="M98">
            <v>20.620000839233398</v>
          </cell>
          <cell r="N98">
            <v>20.610000610351563</v>
          </cell>
        </row>
        <row r="99">
          <cell r="C99">
            <v>20.459999084472656</v>
          </cell>
          <cell r="D99">
            <v>20.649999618530273</v>
          </cell>
          <cell r="E99">
            <v>20.760000228881836</v>
          </cell>
          <cell r="F99">
            <v>20.819999694824219</v>
          </cell>
          <cell r="G99">
            <v>20.840000152587891</v>
          </cell>
          <cell r="H99">
            <v>20.850000381469727</v>
          </cell>
          <cell r="I99">
            <v>20.840000152587891</v>
          </cell>
          <cell r="J99">
            <v>20.819999694824219</v>
          </cell>
          <cell r="K99">
            <v>20.790000915527344</v>
          </cell>
          <cell r="L99">
            <v>20.760000228881836</v>
          </cell>
          <cell r="M99">
            <v>20.729999542236328</v>
          </cell>
          <cell r="N99">
            <v>20.709999084472656</v>
          </cell>
        </row>
        <row r="100">
          <cell r="C100">
            <v>20.469999313354492</v>
          </cell>
          <cell r="D100">
            <v>20.649999618530273</v>
          </cell>
          <cell r="E100">
            <v>20.739999771118164</v>
          </cell>
          <cell r="F100">
            <v>20.790000915527344</v>
          </cell>
          <cell r="G100">
            <v>20.799999237060547</v>
          </cell>
          <cell r="H100">
            <v>20.809999465942383</v>
          </cell>
          <cell r="I100">
            <v>20.790000915527344</v>
          </cell>
          <cell r="J100">
            <v>20.760000228881836</v>
          </cell>
          <cell r="K100">
            <v>20.729999542236328</v>
          </cell>
          <cell r="L100">
            <v>20.700000762939453</v>
          </cell>
          <cell r="M100">
            <v>20.670000076293945</v>
          </cell>
          <cell r="N100">
            <v>20.649999618530273</v>
          </cell>
        </row>
        <row r="101">
          <cell r="C101">
            <v>20.440000534057617</v>
          </cell>
          <cell r="D101">
            <v>20.620000839233398</v>
          </cell>
          <cell r="E101">
            <v>20.719999313354492</v>
          </cell>
          <cell r="F101">
            <v>20.770000457763672</v>
          </cell>
          <cell r="G101">
            <v>20.790000915527344</v>
          </cell>
          <cell r="H101">
            <v>20.799999237060547</v>
          </cell>
          <cell r="I101">
            <v>20.790000915527344</v>
          </cell>
          <cell r="J101">
            <v>20.760000228881836</v>
          </cell>
          <cell r="K101">
            <v>20.729999542236328</v>
          </cell>
          <cell r="L101">
            <v>20.700000762939453</v>
          </cell>
          <cell r="M101">
            <v>20.670000076293945</v>
          </cell>
          <cell r="N101">
            <v>20.649999618530273</v>
          </cell>
        </row>
        <row r="102">
          <cell r="C102">
            <v>20.440000534057617</v>
          </cell>
          <cell r="D102">
            <v>20.600000381469727</v>
          </cell>
          <cell r="E102">
            <v>20.690000534057617</v>
          </cell>
          <cell r="F102">
            <v>20.739999771118164</v>
          </cell>
          <cell r="G102">
            <v>20.760000228881836</v>
          </cell>
          <cell r="H102">
            <v>20.770000457763672</v>
          </cell>
          <cell r="I102">
            <v>20.75</v>
          </cell>
          <cell r="J102">
            <v>20.719999313354492</v>
          </cell>
          <cell r="K102">
            <v>20.690000534057617</v>
          </cell>
          <cell r="L102">
            <v>20.659999847412109</v>
          </cell>
          <cell r="M102">
            <v>20.639999389648438</v>
          </cell>
          <cell r="N102">
            <v>20.620000839233398</v>
          </cell>
        </row>
        <row r="103">
          <cell r="C103">
            <v>20.340000152587891</v>
          </cell>
          <cell r="D103">
            <v>20.510000228881836</v>
          </cell>
          <cell r="E103">
            <v>20.620000839233398</v>
          </cell>
          <cell r="F103">
            <v>20.680000305175781</v>
          </cell>
          <cell r="G103">
            <v>20.709999084472656</v>
          </cell>
          <cell r="H103">
            <v>20.719999313354492</v>
          </cell>
          <cell r="I103">
            <v>20.709999084472656</v>
          </cell>
          <cell r="J103">
            <v>20.690000534057617</v>
          </cell>
          <cell r="K103">
            <v>20.670000076293945</v>
          </cell>
          <cell r="L103">
            <v>20.639999389648438</v>
          </cell>
          <cell r="M103">
            <v>20.620000839233398</v>
          </cell>
          <cell r="N103">
            <v>20.600000381469727</v>
          </cell>
        </row>
        <row r="104">
          <cell r="C104">
            <v>20.200000762939453</v>
          </cell>
          <cell r="D104">
            <v>20.409999847412109</v>
          </cell>
          <cell r="E104">
            <v>20.520000457763672</v>
          </cell>
          <cell r="F104">
            <v>20.590000152587891</v>
          </cell>
          <cell r="G104">
            <v>20.620000839233398</v>
          </cell>
          <cell r="H104">
            <v>20.629999160766602</v>
          </cell>
          <cell r="I104">
            <v>20.620000839233398</v>
          </cell>
          <cell r="J104">
            <v>20.600000381469727</v>
          </cell>
          <cell r="K104">
            <v>20.579999923706055</v>
          </cell>
          <cell r="L104">
            <v>20.549999237060547</v>
          </cell>
          <cell r="M104">
            <v>20.530000686645508</v>
          </cell>
          <cell r="N104">
            <v>20.510000228881836</v>
          </cell>
        </row>
        <row r="105">
          <cell r="C105">
            <v>19.780000686645508</v>
          </cell>
          <cell r="D105">
            <v>20</v>
          </cell>
          <cell r="E105">
            <v>20.139999389648438</v>
          </cell>
          <cell r="F105">
            <v>20.229999542236328</v>
          </cell>
          <cell r="G105">
            <v>20.280000686645508</v>
          </cell>
          <cell r="H105">
            <v>20.299999237060547</v>
          </cell>
          <cell r="I105">
            <v>20.299999237060547</v>
          </cell>
          <cell r="J105">
            <v>20.290000915527344</v>
          </cell>
          <cell r="K105">
            <v>20.270000457763672</v>
          </cell>
          <cell r="L105">
            <v>20.25</v>
          </cell>
          <cell r="M105">
            <v>20.229999542236328</v>
          </cell>
          <cell r="N105">
            <v>20.209999084472656</v>
          </cell>
        </row>
        <row r="106">
          <cell r="C106">
            <v>19.479999542236328</v>
          </cell>
          <cell r="D106">
            <v>19.790000915527344</v>
          </cell>
          <cell r="E106">
            <v>19.969999313354492</v>
          </cell>
          <cell r="F106">
            <v>20.090000152587891</v>
          </cell>
          <cell r="G106">
            <v>20.159999847412109</v>
          </cell>
          <cell r="H106">
            <v>20.180000305175781</v>
          </cell>
          <cell r="I106">
            <v>20.190000534057617</v>
          </cell>
          <cell r="J106">
            <v>20.190000534057617</v>
          </cell>
          <cell r="K106">
            <v>20.180000305175781</v>
          </cell>
          <cell r="L106">
            <v>20.170000076293945</v>
          </cell>
          <cell r="M106">
            <v>20.159999847412109</v>
          </cell>
          <cell r="N106">
            <v>20.149999618530273</v>
          </cell>
        </row>
        <row r="107">
          <cell r="C107">
            <v>19.510000228881836</v>
          </cell>
          <cell r="D107">
            <v>19.829999923706055</v>
          </cell>
          <cell r="E107">
            <v>20.020000457763672</v>
          </cell>
          <cell r="F107">
            <v>20.149999618530273</v>
          </cell>
          <cell r="G107">
            <v>20.229999542236328</v>
          </cell>
          <cell r="H107">
            <v>20.25</v>
          </cell>
          <cell r="I107">
            <v>20.260000228881836</v>
          </cell>
          <cell r="J107">
            <v>20.260000228881836</v>
          </cell>
          <cell r="K107">
            <v>20.25</v>
          </cell>
          <cell r="L107">
            <v>20.239999771118164</v>
          </cell>
          <cell r="M107">
            <v>20.229999542236328</v>
          </cell>
          <cell r="N107">
            <v>20.219999313354492</v>
          </cell>
        </row>
        <row r="108">
          <cell r="C108">
            <v>19.340000152587891</v>
          </cell>
          <cell r="D108">
            <v>19.670000076293945</v>
          </cell>
          <cell r="E108">
            <v>19.870000839233398</v>
          </cell>
          <cell r="F108">
            <v>20</v>
          </cell>
          <cell r="G108">
            <v>20.079999923706055</v>
          </cell>
          <cell r="H108">
            <v>20.100000381469727</v>
          </cell>
          <cell r="I108">
            <v>20.120000839233398</v>
          </cell>
          <cell r="J108">
            <v>20.120000839233398</v>
          </cell>
          <cell r="K108">
            <v>20.110000610351563</v>
          </cell>
          <cell r="L108">
            <v>20.100000381469727</v>
          </cell>
          <cell r="M108">
            <v>20.090000152587891</v>
          </cell>
          <cell r="N108">
            <v>20.079999923706055</v>
          </cell>
        </row>
        <row r="109">
          <cell r="C109">
            <v>19.149999618530273</v>
          </cell>
          <cell r="D109">
            <v>19.610000610351563</v>
          </cell>
          <cell r="E109">
            <v>19.840000152587891</v>
          </cell>
          <cell r="F109">
            <v>19.989999771118164</v>
          </cell>
          <cell r="G109">
            <v>20.079999923706055</v>
          </cell>
          <cell r="H109">
            <v>20.110000610351563</v>
          </cell>
          <cell r="I109">
            <v>20.129999160766602</v>
          </cell>
          <cell r="J109">
            <v>20.129999160766602</v>
          </cell>
          <cell r="K109">
            <v>20.129999160766602</v>
          </cell>
          <cell r="L109">
            <v>20.120000839233398</v>
          </cell>
          <cell r="M109">
            <v>20.110000610351563</v>
          </cell>
          <cell r="N109">
            <v>20.100000381469727</v>
          </cell>
        </row>
        <row r="110">
          <cell r="C110">
            <v>19.540000915527344</v>
          </cell>
          <cell r="D110">
            <v>19.840000152587891</v>
          </cell>
          <cell r="E110">
            <v>20.040000915527344</v>
          </cell>
          <cell r="F110">
            <v>20.180000305175781</v>
          </cell>
          <cell r="G110">
            <v>20.25</v>
          </cell>
          <cell r="H110">
            <v>20.280000686645508</v>
          </cell>
          <cell r="I110">
            <v>20.299999237060547</v>
          </cell>
          <cell r="J110">
            <v>20.299999237060547</v>
          </cell>
          <cell r="K110">
            <v>20.299999237060547</v>
          </cell>
          <cell r="L110">
            <v>20.290000915527344</v>
          </cell>
          <cell r="M110">
            <v>20.280000686645508</v>
          </cell>
          <cell r="N110">
            <v>20.270000457763672</v>
          </cell>
        </row>
        <row r="111">
          <cell r="C111">
            <v>19.879999160766602</v>
          </cell>
          <cell r="D111">
            <v>20.069999694824219</v>
          </cell>
          <cell r="E111">
            <v>20.180000305175781</v>
          </cell>
          <cell r="F111">
            <v>20.229999542236328</v>
          </cell>
          <cell r="G111">
            <v>20.25</v>
          </cell>
          <cell r="H111">
            <v>20.270000457763672</v>
          </cell>
          <cell r="I111">
            <v>20.270000457763672</v>
          </cell>
          <cell r="J111">
            <v>20.270000457763672</v>
          </cell>
          <cell r="K111">
            <v>20.260000228881836</v>
          </cell>
          <cell r="L111">
            <v>20.25</v>
          </cell>
          <cell r="M111">
            <v>20.239999771118164</v>
          </cell>
          <cell r="N111">
            <v>20.229999542236328</v>
          </cell>
        </row>
        <row r="112">
          <cell r="C112">
            <v>19.719999313354492</v>
          </cell>
          <cell r="D112">
            <v>19.950000762939453</v>
          </cell>
          <cell r="E112">
            <v>20.069999694824219</v>
          </cell>
          <cell r="F112">
            <v>20.139999389648438</v>
          </cell>
          <cell r="G112">
            <v>20.180000305175781</v>
          </cell>
          <cell r="H112">
            <v>20.200000762939453</v>
          </cell>
          <cell r="I112">
            <v>20.200000762939453</v>
          </cell>
          <cell r="J112">
            <v>20.200000762939453</v>
          </cell>
          <cell r="K112">
            <v>20.190000534057617</v>
          </cell>
          <cell r="L112">
            <v>20.180000305175781</v>
          </cell>
          <cell r="M112">
            <v>20.170000076293945</v>
          </cell>
          <cell r="N112">
            <v>20.159999847412109</v>
          </cell>
        </row>
        <row r="113">
          <cell r="C113">
            <v>19.899999618530273</v>
          </cell>
          <cell r="D113">
            <v>20.100000381469727</v>
          </cell>
          <cell r="E113">
            <v>20.209999084472656</v>
          </cell>
          <cell r="F113">
            <v>20.270000457763672</v>
          </cell>
          <cell r="G113">
            <v>20.299999237060547</v>
          </cell>
          <cell r="H113">
            <v>20.309999465942383</v>
          </cell>
          <cell r="I113">
            <v>20.309999465942383</v>
          </cell>
          <cell r="J113">
            <v>20.309999465942383</v>
          </cell>
          <cell r="K113">
            <v>20.299999237060547</v>
          </cell>
          <cell r="L113">
            <v>20.290000915527344</v>
          </cell>
          <cell r="M113">
            <v>20.280000686645508</v>
          </cell>
          <cell r="N113">
            <v>20.270000457763672</v>
          </cell>
        </row>
        <row r="114">
          <cell r="C114">
            <v>19.889999389648438</v>
          </cell>
          <cell r="D114">
            <v>20.090000152587891</v>
          </cell>
          <cell r="E114">
            <v>20.200000762939453</v>
          </cell>
          <cell r="F114">
            <v>20.260000228881836</v>
          </cell>
          <cell r="G114">
            <v>20.290000915527344</v>
          </cell>
          <cell r="H114">
            <v>20.309999465942383</v>
          </cell>
          <cell r="I114">
            <v>20.309999465942383</v>
          </cell>
          <cell r="J114">
            <v>20.299999237060547</v>
          </cell>
          <cell r="K114">
            <v>20.290000915527344</v>
          </cell>
          <cell r="L114">
            <v>20.280000686645508</v>
          </cell>
          <cell r="M114">
            <v>20.270000457763672</v>
          </cell>
          <cell r="N114">
            <v>20.260000228881836</v>
          </cell>
        </row>
        <row r="115">
          <cell r="C115">
            <v>20.059999465942383</v>
          </cell>
          <cell r="D115">
            <v>20.239999771118164</v>
          </cell>
          <cell r="E115">
            <v>20.350000381469727</v>
          </cell>
          <cell r="F115">
            <v>20.399999618530273</v>
          </cell>
          <cell r="G115">
            <v>20.420000076293945</v>
          </cell>
          <cell r="H115">
            <v>20.440000534057617</v>
          </cell>
          <cell r="I115">
            <v>20.430000305175781</v>
          </cell>
          <cell r="J115">
            <v>20.420000076293945</v>
          </cell>
          <cell r="K115">
            <v>20.409999847412109</v>
          </cell>
          <cell r="L115">
            <v>20.399999618530273</v>
          </cell>
          <cell r="M115">
            <v>20.389999389648438</v>
          </cell>
          <cell r="N115">
            <v>20.379999160766602</v>
          </cell>
        </row>
        <row r="116">
          <cell r="C116">
            <v>20.020000457763672</v>
          </cell>
          <cell r="D116">
            <v>20.209999084472656</v>
          </cell>
          <cell r="E116">
            <v>20.309999465942383</v>
          </cell>
          <cell r="F116">
            <v>20.360000610351563</v>
          </cell>
          <cell r="G116">
            <v>20.379999160766602</v>
          </cell>
          <cell r="H116">
            <v>20.399999618530273</v>
          </cell>
          <cell r="I116">
            <v>20.389999389648438</v>
          </cell>
          <cell r="J116">
            <v>20.379999160766602</v>
          </cell>
          <cell r="K116">
            <v>20.370000839233398</v>
          </cell>
          <cell r="L116">
            <v>20.360000610351563</v>
          </cell>
          <cell r="M116">
            <v>20.350000381469727</v>
          </cell>
          <cell r="N116">
            <v>20.340000152587891</v>
          </cell>
        </row>
        <row r="117">
          <cell r="C117">
            <v>20.239999771118164</v>
          </cell>
          <cell r="D117">
            <v>20.389999389648438</v>
          </cell>
          <cell r="E117">
            <v>20.489999771118164</v>
          </cell>
          <cell r="F117">
            <v>20.540000915527344</v>
          </cell>
          <cell r="G117">
            <v>20.559999465942383</v>
          </cell>
          <cell r="H117">
            <v>20.579999923706055</v>
          </cell>
          <cell r="I117">
            <v>20.569999694824219</v>
          </cell>
          <cell r="J117">
            <v>20.559999465942383</v>
          </cell>
          <cell r="K117">
            <v>20.549999237060547</v>
          </cell>
          <cell r="L117">
            <v>20.540000915527344</v>
          </cell>
          <cell r="M117">
            <v>20.530000686645508</v>
          </cell>
          <cell r="N117">
            <v>20.520000457763672</v>
          </cell>
        </row>
        <row r="118">
          <cell r="C118">
            <v>20.030000686645508</v>
          </cell>
          <cell r="D118">
            <v>20.190000534057617</v>
          </cell>
          <cell r="E118">
            <v>20.290000915527344</v>
          </cell>
          <cell r="F118">
            <v>20.340000152587891</v>
          </cell>
          <cell r="G118">
            <v>20.370000839233398</v>
          </cell>
          <cell r="H118">
            <v>20.389999389648438</v>
          </cell>
          <cell r="I118">
            <v>20.379999160766602</v>
          </cell>
          <cell r="J118">
            <v>20.370000839233398</v>
          </cell>
          <cell r="K118">
            <v>20.360000610351563</v>
          </cell>
          <cell r="L118">
            <v>20.350000381469727</v>
          </cell>
          <cell r="M118">
            <v>20.350000381469727</v>
          </cell>
          <cell r="N118">
            <v>20.340000152587891</v>
          </cell>
        </row>
        <row r="119">
          <cell r="C119">
            <v>19.739999771118164</v>
          </cell>
          <cell r="D119">
            <v>19.940000534057617</v>
          </cell>
          <cell r="E119">
            <v>20.049999237060547</v>
          </cell>
          <cell r="F119">
            <v>20.110000610351563</v>
          </cell>
          <cell r="G119">
            <v>20.139999389648438</v>
          </cell>
          <cell r="H119">
            <v>20.159999847412109</v>
          </cell>
          <cell r="I119">
            <v>20.149999618530273</v>
          </cell>
          <cell r="J119">
            <v>20.139999389648438</v>
          </cell>
          <cell r="K119">
            <v>20.129999160766602</v>
          </cell>
          <cell r="L119">
            <v>20.120000839233398</v>
          </cell>
          <cell r="M119">
            <v>20.120000839233398</v>
          </cell>
          <cell r="N119">
            <v>20.110000610351563</v>
          </cell>
        </row>
        <row r="120">
          <cell r="C120">
            <v>19.770000457763672</v>
          </cell>
          <cell r="D120">
            <v>19.969999313354492</v>
          </cell>
          <cell r="E120">
            <v>20.079999923706055</v>
          </cell>
          <cell r="F120">
            <v>20.139999389648438</v>
          </cell>
          <cell r="G120">
            <v>20.180000305175781</v>
          </cell>
          <cell r="H120">
            <v>20.200000762939453</v>
          </cell>
          <cell r="I120">
            <v>20.200000762939453</v>
          </cell>
          <cell r="J120">
            <v>20.190000534057617</v>
          </cell>
          <cell r="K120">
            <v>20.180000305175781</v>
          </cell>
          <cell r="L120">
            <v>20.170000076293945</v>
          </cell>
          <cell r="M120">
            <v>20.170000076293945</v>
          </cell>
          <cell r="N120">
            <v>20.159999847412109</v>
          </cell>
        </row>
        <row r="121">
          <cell r="C121">
            <v>19.540000915527344</v>
          </cell>
          <cell r="D121">
            <v>19.75</v>
          </cell>
          <cell r="E121">
            <v>19.870000839233398</v>
          </cell>
          <cell r="F121">
            <v>19.959999084472656</v>
          </cell>
          <cell r="G121">
            <v>20.020000457763672</v>
          </cell>
          <cell r="H121">
            <v>20.059999465942383</v>
          </cell>
          <cell r="I121">
            <v>20.079999923706055</v>
          </cell>
          <cell r="J121">
            <v>20.079999923706055</v>
          </cell>
          <cell r="K121">
            <v>20.069999694824219</v>
          </cell>
          <cell r="L121">
            <v>20.059999465942383</v>
          </cell>
          <cell r="M121">
            <v>20.059999465942383</v>
          </cell>
          <cell r="N121">
            <v>20.059999465942383</v>
          </cell>
        </row>
        <row r="122">
          <cell r="C122">
            <v>19.649999618530273</v>
          </cell>
          <cell r="D122">
            <v>19.889999389648438</v>
          </cell>
          <cell r="E122">
            <v>20.010000228881836</v>
          </cell>
          <cell r="F122">
            <v>20.100000381469727</v>
          </cell>
          <cell r="G122">
            <v>20.159999847412109</v>
          </cell>
          <cell r="H122">
            <v>20.200000762939453</v>
          </cell>
          <cell r="I122">
            <v>20.219999313354492</v>
          </cell>
          <cell r="J122">
            <v>20.219999313354492</v>
          </cell>
          <cell r="K122">
            <v>20.209999084472656</v>
          </cell>
          <cell r="L122">
            <v>20.200000762939453</v>
          </cell>
          <cell r="M122">
            <v>20.200000762939453</v>
          </cell>
          <cell r="N122">
            <v>20.200000762939453</v>
          </cell>
        </row>
        <row r="123">
          <cell r="C123">
            <v>19.639999389648438</v>
          </cell>
          <cell r="D123">
            <v>19.930000305175781</v>
          </cell>
          <cell r="E123">
            <v>20.069999694824219</v>
          </cell>
          <cell r="F123">
            <v>20.159999847412109</v>
          </cell>
          <cell r="G123">
            <v>20.229999542236328</v>
          </cell>
          <cell r="H123">
            <v>20.280000686645508</v>
          </cell>
          <cell r="I123">
            <v>20.309999465942383</v>
          </cell>
          <cell r="J123">
            <v>20.319999694824219</v>
          </cell>
          <cell r="K123">
            <v>20.319999694824219</v>
          </cell>
          <cell r="L123">
            <v>20.319999694824219</v>
          </cell>
          <cell r="M123">
            <v>20.319999694824219</v>
          </cell>
          <cell r="N123">
            <v>20.319999694824219</v>
          </cell>
        </row>
        <row r="124">
          <cell r="C124">
            <v>19.280000686645508</v>
          </cell>
          <cell r="D124">
            <v>19.559999465942383</v>
          </cell>
          <cell r="E124">
            <v>19.739999771118164</v>
          </cell>
          <cell r="F124">
            <v>19.840000152587891</v>
          </cell>
          <cell r="G124">
            <v>19.920000076293945</v>
          </cell>
          <cell r="H124">
            <v>19.979999542236328</v>
          </cell>
          <cell r="I124">
            <v>20.030000686645508</v>
          </cell>
          <cell r="J124">
            <v>20.049999237060547</v>
          </cell>
          <cell r="K124">
            <v>20.059999465942383</v>
          </cell>
          <cell r="L124">
            <v>20.069999694824219</v>
          </cell>
          <cell r="M124">
            <v>20.079999923706055</v>
          </cell>
          <cell r="N124">
            <v>20.090000152587891</v>
          </cell>
        </row>
        <row r="125">
          <cell r="C125">
            <v>18.979999542236328</v>
          </cell>
          <cell r="D125">
            <v>19.319999694824219</v>
          </cell>
          <cell r="E125">
            <v>19.530000686645508</v>
          </cell>
          <cell r="F125">
            <v>19.649999618530273</v>
          </cell>
          <cell r="G125">
            <v>19.739999771118164</v>
          </cell>
          <cell r="H125">
            <v>19.809999465942383</v>
          </cell>
          <cell r="I125">
            <v>19.879999160766602</v>
          </cell>
          <cell r="J125">
            <v>19.909999847412109</v>
          </cell>
          <cell r="K125">
            <v>19.930000305175781</v>
          </cell>
          <cell r="L125">
            <v>19.950000762939453</v>
          </cell>
          <cell r="M125">
            <v>19.969999313354492</v>
          </cell>
          <cell r="N125">
            <v>20</v>
          </cell>
        </row>
        <row r="126">
          <cell r="C126">
            <v>18.889999389648438</v>
          </cell>
          <cell r="D126">
            <v>19.260000228881836</v>
          </cell>
          <cell r="E126">
            <v>19.5</v>
          </cell>
          <cell r="F126">
            <v>19.629999160766602</v>
          </cell>
          <cell r="G126">
            <v>19.719999313354492</v>
          </cell>
          <cell r="H126">
            <v>19.790000915527344</v>
          </cell>
          <cell r="I126">
            <v>19.860000610351563</v>
          </cell>
          <cell r="J126">
            <v>19.889999389648438</v>
          </cell>
          <cell r="K126">
            <v>19.909999847412109</v>
          </cell>
          <cell r="L126">
            <v>19.920000076293945</v>
          </cell>
          <cell r="M126">
            <v>19.930000305175781</v>
          </cell>
          <cell r="N126">
            <v>19.950000762939453</v>
          </cell>
        </row>
        <row r="127">
          <cell r="C127">
            <v>18.579999923706055</v>
          </cell>
          <cell r="D127">
            <v>18.899999618530273</v>
          </cell>
          <cell r="E127">
            <v>19.180000305175781</v>
          </cell>
          <cell r="F127">
            <v>19.350000381469727</v>
          </cell>
          <cell r="G127">
            <v>19.459999084472656</v>
          </cell>
          <cell r="H127">
            <v>19.549999237060547</v>
          </cell>
          <cell r="I127">
            <v>19.629999160766602</v>
          </cell>
          <cell r="J127">
            <v>19.680000305175781</v>
          </cell>
          <cell r="K127">
            <v>19.719999313354492</v>
          </cell>
          <cell r="L127">
            <v>19.75</v>
          </cell>
          <cell r="M127">
            <v>19.790000915527344</v>
          </cell>
          <cell r="N127">
            <v>19.829999923706055</v>
          </cell>
        </row>
        <row r="128">
          <cell r="C128">
            <v>18.840000152587891</v>
          </cell>
          <cell r="D128">
            <v>19.170000076293945</v>
          </cell>
          <cell r="E128">
            <v>19.430000305175781</v>
          </cell>
          <cell r="F128">
            <v>19.600000381469727</v>
          </cell>
          <cell r="G128">
            <v>19.709999084472656</v>
          </cell>
          <cell r="H128">
            <v>19.799999237060547</v>
          </cell>
          <cell r="I128">
            <v>19.870000839233398</v>
          </cell>
          <cell r="J128">
            <v>19.920000076293945</v>
          </cell>
          <cell r="K128">
            <v>19.950000762939453</v>
          </cell>
          <cell r="L128">
            <v>19.969999313354492</v>
          </cell>
          <cell r="M128">
            <v>20</v>
          </cell>
          <cell r="N128">
            <v>20.030000686645508</v>
          </cell>
        </row>
        <row r="129">
          <cell r="C129">
            <v>18.700000762939453</v>
          </cell>
          <cell r="D129">
            <v>19</v>
          </cell>
          <cell r="E129">
            <v>19.280000686645508</v>
          </cell>
          <cell r="F129">
            <v>19.459999084472656</v>
          </cell>
          <cell r="G129">
            <v>19.579999923706055</v>
          </cell>
          <cell r="H129">
            <v>19.670000076293945</v>
          </cell>
          <cell r="I129">
            <v>19.739999771118164</v>
          </cell>
          <cell r="J129">
            <v>19.790000915527344</v>
          </cell>
          <cell r="K129">
            <v>19.819999694824219</v>
          </cell>
          <cell r="L129">
            <v>19.840000152587891</v>
          </cell>
          <cell r="M129">
            <v>19.870000839233398</v>
          </cell>
          <cell r="N129">
            <v>19.899999618530273</v>
          </cell>
        </row>
        <row r="130">
          <cell r="C130">
            <v>18.670000076293945</v>
          </cell>
          <cell r="D130">
            <v>18.969999313354492</v>
          </cell>
          <cell r="E130">
            <v>19.239999771118164</v>
          </cell>
          <cell r="F130">
            <v>19.430000305175781</v>
          </cell>
          <cell r="G130">
            <v>19.549999237060547</v>
          </cell>
          <cell r="H130">
            <v>19.649999618530273</v>
          </cell>
          <cell r="I130">
            <v>19.729999542236328</v>
          </cell>
          <cell r="J130">
            <v>19.780000686645508</v>
          </cell>
          <cell r="K130">
            <v>19.809999465942383</v>
          </cell>
          <cell r="L130">
            <v>19.829999923706055</v>
          </cell>
          <cell r="M130">
            <v>19.860000610351563</v>
          </cell>
          <cell r="N130">
            <v>19.889999389648438</v>
          </cell>
        </row>
        <row r="131">
          <cell r="C131">
            <v>18.620000839233398</v>
          </cell>
          <cell r="D131">
            <v>18.909999847412109</v>
          </cell>
          <cell r="E131">
            <v>19.190000534057617</v>
          </cell>
          <cell r="F131">
            <v>19.379999160766602</v>
          </cell>
          <cell r="G131">
            <v>19.5</v>
          </cell>
          <cell r="H131">
            <v>19.600000381469727</v>
          </cell>
          <cell r="I131">
            <v>19.670000076293945</v>
          </cell>
          <cell r="J131">
            <v>19.719999313354492</v>
          </cell>
          <cell r="K131">
            <v>19.75</v>
          </cell>
          <cell r="L131">
            <v>19.770000457763672</v>
          </cell>
          <cell r="M131">
            <v>19.799999237060547</v>
          </cell>
          <cell r="N131">
            <v>19.829999923706055</v>
          </cell>
        </row>
        <row r="132">
          <cell r="C132">
            <v>18.420000076293945</v>
          </cell>
          <cell r="D132">
            <v>18.819999694824219</v>
          </cell>
          <cell r="E132">
            <v>19.120000839233398</v>
          </cell>
          <cell r="F132">
            <v>19.329999923706055</v>
          </cell>
          <cell r="G132">
            <v>19.459999084472656</v>
          </cell>
          <cell r="H132">
            <v>19.559999465942383</v>
          </cell>
          <cell r="I132">
            <v>19.629999160766602</v>
          </cell>
          <cell r="J132">
            <v>19.680000305175781</v>
          </cell>
          <cell r="K132">
            <v>19.709999084472656</v>
          </cell>
          <cell r="L132">
            <v>19.729999542236328</v>
          </cell>
          <cell r="M132">
            <v>19.760000228881836</v>
          </cell>
          <cell r="N132">
            <v>19.790000915527344</v>
          </cell>
        </row>
        <row r="133">
          <cell r="C133">
            <v>18.860000610351563</v>
          </cell>
          <cell r="D133">
            <v>19.170000076293945</v>
          </cell>
          <cell r="E133">
            <v>19.379999160766602</v>
          </cell>
          <cell r="F133">
            <v>19.520000457763672</v>
          </cell>
          <cell r="G133">
            <v>19.629999160766602</v>
          </cell>
          <cell r="H133">
            <v>19.709999084472656</v>
          </cell>
          <cell r="I133">
            <v>19.760000228881836</v>
          </cell>
          <cell r="J133">
            <v>19.799999237060547</v>
          </cell>
          <cell r="K133">
            <v>19.829999923706055</v>
          </cell>
          <cell r="L133">
            <v>19.860000610351563</v>
          </cell>
          <cell r="M133">
            <v>19.889999389648438</v>
          </cell>
          <cell r="N133">
            <v>19.909999847412109</v>
          </cell>
        </row>
        <row r="134">
          <cell r="C134">
            <v>18.889999389648438</v>
          </cell>
          <cell r="D134">
            <v>19.170000076293945</v>
          </cell>
          <cell r="E134">
            <v>19.370000839233398</v>
          </cell>
          <cell r="F134">
            <v>19.510000228881836</v>
          </cell>
          <cell r="G134">
            <v>19.620000839233398</v>
          </cell>
          <cell r="H134">
            <v>19.700000762939453</v>
          </cell>
          <cell r="I134">
            <v>19.75</v>
          </cell>
          <cell r="J134">
            <v>19.790000915527344</v>
          </cell>
          <cell r="K134">
            <v>19.819999694824219</v>
          </cell>
          <cell r="L134">
            <v>19.850000381469727</v>
          </cell>
          <cell r="M134">
            <v>19.879999160766602</v>
          </cell>
          <cell r="N134">
            <v>19.899999618530273</v>
          </cell>
        </row>
        <row r="135">
          <cell r="C135">
            <v>18.840000152587891</v>
          </cell>
          <cell r="D135">
            <v>19.129999160766602</v>
          </cell>
          <cell r="E135">
            <v>19.329999923706055</v>
          </cell>
          <cell r="F135">
            <v>19.469999313354492</v>
          </cell>
          <cell r="G135">
            <v>19.579999923706055</v>
          </cell>
          <cell r="H135">
            <v>19.659999847412109</v>
          </cell>
          <cell r="I135">
            <v>19.719999313354492</v>
          </cell>
          <cell r="J135">
            <v>19.770000457763672</v>
          </cell>
          <cell r="K135">
            <v>19.809999465942383</v>
          </cell>
          <cell r="L135">
            <v>19.840000152587891</v>
          </cell>
          <cell r="M135">
            <v>19.870000839233398</v>
          </cell>
          <cell r="N135">
            <v>19.889999389648438</v>
          </cell>
        </row>
        <row r="136">
          <cell r="C136">
            <v>18.899999618530273</v>
          </cell>
          <cell r="D136">
            <v>19.180000305175781</v>
          </cell>
          <cell r="E136">
            <v>19.389999389648438</v>
          </cell>
          <cell r="F136">
            <v>19.540000915527344</v>
          </cell>
          <cell r="G136">
            <v>19.649999618530273</v>
          </cell>
          <cell r="H136">
            <v>19.739999771118164</v>
          </cell>
          <cell r="I136">
            <v>19.809999465942383</v>
          </cell>
          <cell r="J136">
            <v>19.870000839233398</v>
          </cell>
          <cell r="K136">
            <v>19.909999847412109</v>
          </cell>
          <cell r="L136">
            <v>19.950000762939453</v>
          </cell>
          <cell r="M136">
            <v>19.979999542236328</v>
          </cell>
          <cell r="N136">
            <v>20</v>
          </cell>
        </row>
        <row r="137">
          <cell r="C137">
            <v>19.010000228881836</v>
          </cell>
          <cell r="D137">
            <v>19.270000457763672</v>
          </cell>
          <cell r="E137">
            <v>19.469999313354492</v>
          </cell>
          <cell r="F137">
            <v>19.620000839233398</v>
          </cell>
          <cell r="G137">
            <v>19.729999542236328</v>
          </cell>
          <cell r="H137">
            <v>19.819999694824219</v>
          </cell>
          <cell r="I137">
            <v>19.879999160766602</v>
          </cell>
          <cell r="J137">
            <v>19.930000305175781</v>
          </cell>
          <cell r="K137">
            <v>19.969999313354492</v>
          </cell>
          <cell r="L137">
            <v>20.010000228881836</v>
          </cell>
          <cell r="M137">
            <v>20.040000915527344</v>
          </cell>
          <cell r="N137">
            <v>20.059999465942383</v>
          </cell>
        </row>
        <row r="138">
          <cell r="C138">
            <v>18.850000381469727</v>
          </cell>
          <cell r="D138">
            <v>19.110000610351563</v>
          </cell>
          <cell r="E138">
            <v>19.309999465942383</v>
          </cell>
          <cell r="F138">
            <v>19.459999084472656</v>
          </cell>
          <cell r="G138">
            <v>19.579999923706055</v>
          </cell>
          <cell r="H138">
            <v>19.680000305175781</v>
          </cell>
          <cell r="I138">
            <v>19.739999771118164</v>
          </cell>
          <cell r="J138">
            <v>19.799999237060547</v>
          </cell>
          <cell r="K138">
            <v>19.840000152587891</v>
          </cell>
          <cell r="L138">
            <v>19.879999160766602</v>
          </cell>
          <cell r="M138">
            <v>19.909999847412109</v>
          </cell>
          <cell r="N138">
            <v>19.930000305175781</v>
          </cell>
        </row>
        <row r="139">
          <cell r="C139">
            <v>18.450000762939453</v>
          </cell>
          <cell r="D139">
            <v>18.729999542236328</v>
          </cell>
          <cell r="E139">
            <v>18.969999313354492</v>
          </cell>
          <cell r="F139">
            <v>19.180000305175781</v>
          </cell>
          <cell r="G139">
            <v>19.340000152587891</v>
          </cell>
          <cell r="H139">
            <v>19.469999313354492</v>
          </cell>
          <cell r="I139">
            <v>19.559999465942383</v>
          </cell>
          <cell r="J139">
            <v>19.639999389648438</v>
          </cell>
          <cell r="K139">
            <v>19.700000762939453</v>
          </cell>
          <cell r="L139">
            <v>19.760000228881836</v>
          </cell>
          <cell r="M139">
            <v>19.819999694824219</v>
          </cell>
          <cell r="N139">
            <v>19.860000610351563</v>
          </cell>
        </row>
        <row r="140">
          <cell r="C140">
            <v>17.950000762939453</v>
          </cell>
          <cell r="D140">
            <v>18.280000686645508</v>
          </cell>
          <cell r="E140">
            <v>18.540000915527344</v>
          </cell>
          <cell r="F140">
            <v>18.780000686645508</v>
          </cell>
          <cell r="G140">
            <v>18.959999084472656</v>
          </cell>
          <cell r="H140">
            <v>19.110000610351563</v>
          </cell>
          <cell r="I140">
            <v>19.219999313354492</v>
          </cell>
          <cell r="J140">
            <v>19.309999465942383</v>
          </cell>
          <cell r="K140">
            <v>19.379999160766602</v>
          </cell>
          <cell r="L140">
            <v>19.450000762939453</v>
          </cell>
          <cell r="M140">
            <v>19.520000457763672</v>
          </cell>
          <cell r="N140">
            <v>19.569999694824219</v>
          </cell>
        </row>
        <row r="141">
          <cell r="C141">
            <v>18.290000915527344</v>
          </cell>
          <cell r="D141">
            <v>18.540000915527344</v>
          </cell>
          <cell r="E141">
            <v>18.760000228881836</v>
          </cell>
          <cell r="F141">
            <v>18.959999084472656</v>
          </cell>
          <cell r="G141">
            <v>19.129999160766602</v>
          </cell>
          <cell r="H141">
            <v>19.270000457763672</v>
          </cell>
          <cell r="I141">
            <v>19.370000839233398</v>
          </cell>
          <cell r="J141">
            <v>19.450000762939453</v>
          </cell>
          <cell r="K141">
            <v>19.510000228881836</v>
          </cell>
          <cell r="L141">
            <v>19.569999694824219</v>
          </cell>
          <cell r="M141">
            <v>19.629999160766602</v>
          </cell>
          <cell r="N141">
            <v>19.680000305175781</v>
          </cell>
        </row>
        <row r="142">
          <cell r="C142">
            <v>18.020000457763672</v>
          </cell>
          <cell r="D142">
            <v>18.309999465942383</v>
          </cell>
          <cell r="E142">
            <v>18.540000915527344</v>
          </cell>
          <cell r="F142">
            <v>18.75</v>
          </cell>
          <cell r="G142">
            <v>18.940000534057617</v>
          </cell>
          <cell r="H142">
            <v>19.100000381469727</v>
          </cell>
          <cell r="I142">
            <v>19.200000762939453</v>
          </cell>
          <cell r="J142">
            <v>19.280000686645508</v>
          </cell>
          <cell r="K142">
            <v>19.340000152587891</v>
          </cell>
          <cell r="L142">
            <v>19.399999618530273</v>
          </cell>
          <cell r="M142">
            <v>19.459999084472656</v>
          </cell>
          <cell r="N142">
            <v>19.510000228881836</v>
          </cell>
        </row>
        <row r="143">
          <cell r="C143">
            <v>17.790000915527344</v>
          </cell>
          <cell r="D143">
            <v>18.059999465942383</v>
          </cell>
          <cell r="E143">
            <v>18.299999237060547</v>
          </cell>
          <cell r="F143">
            <v>18.520000457763672</v>
          </cell>
          <cell r="G143">
            <v>18.719999313354492</v>
          </cell>
          <cell r="H143">
            <v>18.920000076293945</v>
          </cell>
          <cell r="I143">
            <v>19.040000915527344</v>
          </cell>
          <cell r="J143">
            <v>19.139999389648438</v>
          </cell>
          <cell r="K143">
            <v>19.219999313354492</v>
          </cell>
          <cell r="L143">
            <v>19.299999237060547</v>
          </cell>
          <cell r="M143">
            <v>19.379999160766602</v>
          </cell>
          <cell r="N143">
            <v>19.440000534057617</v>
          </cell>
        </row>
        <row r="144">
          <cell r="C144">
            <v>17.889999389648438</v>
          </cell>
          <cell r="D144">
            <v>18.129999160766602</v>
          </cell>
          <cell r="E144">
            <v>18.389999389648438</v>
          </cell>
          <cell r="F144">
            <v>18.600000381469727</v>
          </cell>
          <cell r="G144">
            <v>18.799999237060547</v>
          </cell>
          <cell r="H144">
            <v>19.010000228881836</v>
          </cell>
          <cell r="I144">
            <v>19.139999389648438</v>
          </cell>
          <cell r="J144">
            <v>19.239999771118164</v>
          </cell>
          <cell r="K144">
            <v>19.319999694824219</v>
          </cell>
          <cell r="L144">
            <v>19.399999618530273</v>
          </cell>
          <cell r="M144">
            <v>19.479999542236328</v>
          </cell>
          <cell r="N144">
            <v>19.540000915527344</v>
          </cell>
        </row>
        <row r="145">
          <cell r="C145">
            <v>18.100000381469727</v>
          </cell>
          <cell r="D145">
            <v>18.329999923706055</v>
          </cell>
          <cell r="E145">
            <v>18.579999923706055</v>
          </cell>
          <cell r="F145">
            <v>18.780000686645508</v>
          </cell>
          <cell r="G145">
            <v>18.969999313354492</v>
          </cell>
          <cell r="H145">
            <v>19.159999847412109</v>
          </cell>
          <cell r="I145">
            <v>19.290000915527344</v>
          </cell>
          <cell r="J145">
            <v>19.389999389648438</v>
          </cell>
          <cell r="K145">
            <v>19.469999313354492</v>
          </cell>
          <cell r="L145">
            <v>19.549999237060547</v>
          </cell>
          <cell r="M145">
            <v>19.629999160766602</v>
          </cell>
          <cell r="N145">
            <v>19.680000305175781</v>
          </cell>
        </row>
        <row r="146">
          <cell r="C146">
            <v>18.129999160766602</v>
          </cell>
          <cell r="D146">
            <v>18.379999160766602</v>
          </cell>
          <cell r="E146">
            <v>18.610000610351563</v>
          </cell>
          <cell r="F146">
            <v>18.799999237060547</v>
          </cell>
          <cell r="G146">
            <v>18.979999542236328</v>
          </cell>
          <cell r="H146">
            <v>19.149999618530273</v>
          </cell>
          <cell r="I146">
            <v>19.260000228881836</v>
          </cell>
          <cell r="J146">
            <v>19.360000610351563</v>
          </cell>
          <cell r="K146">
            <v>19.440000534057617</v>
          </cell>
          <cell r="L146">
            <v>19.520000457763672</v>
          </cell>
          <cell r="M146">
            <v>19.600000381469727</v>
          </cell>
          <cell r="N146">
            <v>19.649999618530273</v>
          </cell>
        </row>
        <row r="147">
          <cell r="C147">
            <v>17.489999771118164</v>
          </cell>
          <cell r="D147">
            <v>17.690000534057617</v>
          </cell>
          <cell r="E147">
            <v>17.920000076293945</v>
          </cell>
          <cell r="F147">
            <v>18.129999160766602</v>
          </cell>
          <cell r="G147">
            <v>18.329999923706055</v>
          </cell>
          <cell r="H147">
            <v>18.530000686645508</v>
          </cell>
          <cell r="I147">
            <v>18.680000305175781</v>
          </cell>
          <cell r="J147">
            <v>18.790000915527344</v>
          </cell>
          <cell r="K147">
            <v>18.879999160766602</v>
          </cell>
          <cell r="L147">
            <v>18.969999313354492</v>
          </cell>
          <cell r="M147">
            <v>19.059999465942383</v>
          </cell>
          <cell r="N147">
            <v>19.120000839233398</v>
          </cell>
        </row>
        <row r="148">
          <cell r="C148">
            <v>17.670000076293945</v>
          </cell>
          <cell r="D148">
            <v>17.920000076293945</v>
          </cell>
          <cell r="E148">
            <v>18.120000839233398</v>
          </cell>
          <cell r="F148">
            <v>18.309999465942383</v>
          </cell>
          <cell r="G148">
            <v>18.5</v>
          </cell>
          <cell r="H148">
            <v>18.680000305175781</v>
          </cell>
          <cell r="I148">
            <v>18.819999694824219</v>
          </cell>
          <cell r="J148">
            <v>18.920000076293945</v>
          </cell>
          <cell r="K148">
            <v>19.010000228881836</v>
          </cell>
          <cell r="L148">
            <v>19.100000381469727</v>
          </cell>
          <cell r="M148">
            <v>19.190000534057617</v>
          </cell>
          <cell r="N148">
            <v>19.260000228881836</v>
          </cell>
        </row>
        <row r="149">
          <cell r="C149">
            <v>17.209999084472656</v>
          </cell>
          <cell r="D149">
            <v>17.489999771118164</v>
          </cell>
          <cell r="E149">
            <v>17.690000534057617</v>
          </cell>
          <cell r="F149">
            <v>17.879999160766602</v>
          </cell>
          <cell r="G149">
            <v>18.069999694824219</v>
          </cell>
          <cell r="H149">
            <v>18.239999771118164</v>
          </cell>
          <cell r="I149">
            <v>18.370000839233398</v>
          </cell>
          <cell r="J149">
            <v>18.459999084472656</v>
          </cell>
          <cell r="K149">
            <v>18.549999237060547</v>
          </cell>
          <cell r="L149">
            <v>18.639999389648438</v>
          </cell>
          <cell r="M149">
            <v>18.729999542236328</v>
          </cell>
          <cell r="N149">
            <v>18.799999237060547</v>
          </cell>
        </row>
        <row r="150">
          <cell r="C150">
            <v>17.700000762939453</v>
          </cell>
          <cell r="D150">
            <v>18.25</v>
          </cell>
          <cell r="E150">
            <v>18.469999313354492</v>
          </cell>
          <cell r="F150">
            <v>18.659999847412109</v>
          </cell>
          <cell r="G150">
            <v>18.840000152587891</v>
          </cell>
          <cell r="H150">
            <v>18.989999771118164</v>
          </cell>
          <cell r="I150">
            <v>19.110000610351563</v>
          </cell>
          <cell r="J150">
            <v>19.200000762939453</v>
          </cell>
          <cell r="K150">
            <v>19.280000686645508</v>
          </cell>
          <cell r="L150">
            <v>19.360000610351563</v>
          </cell>
          <cell r="M150">
            <v>19.440000534057617</v>
          </cell>
          <cell r="N150">
            <v>19.5</v>
          </cell>
        </row>
        <row r="151">
          <cell r="C151">
            <v>17.090000152587891</v>
          </cell>
          <cell r="D151">
            <v>17.840000152587891</v>
          </cell>
          <cell r="E151">
            <v>18.090000152587891</v>
          </cell>
          <cell r="F151">
            <v>18.280000686645508</v>
          </cell>
          <cell r="G151">
            <v>18.459999084472656</v>
          </cell>
          <cell r="H151">
            <v>18.610000610351563</v>
          </cell>
          <cell r="I151">
            <v>18.729999542236328</v>
          </cell>
          <cell r="J151">
            <v>18.819999694824219</v>
          </cell>
          <cell r="K151">
            <v>18.899999618530273</v>
          </cell>
          <cell r="L151">
            <v>18.979999542236328</v>
          </cell>
          <cell r="M151">
            <v>19.059999465942383</v>
          </cell>
          <cell r="N151">
            <v>19.120000839233398</v>
          </cell>
        </row>
        <row r="152">
          <cell r="C152">
            <v>17.930000305175781</v>
          </cell>
          <cell r="D152">
            <v>18.200000762939453</v>
          </cell>
          <cell r="E152">
            <v>18.389999389648438</v>
          </cell>
          <cell r="F152">
            <v>18.540000915527344</v>
          </cell>
          <cell r="G152">
            <v>18.680000305175781</v>
          </cell>
          <cell r="H152">
            <v>18.790000915527344</v>
          </cell>
          <cell r="I152">
            <v>18.870000839233398</v>
          </cell>
          <cell r="J152">
            <v>18.940000534057617</v>
          </cell>
          <cell r="K152">
            <v>19.010000228881836</v>
          </cell>
          <cell r="L152">
            <v>19.079999923706055</v>
          </cell>
          <cell r="M152">
            <v>19.129999160766602</v>
          </cell>
          <cell r="N152">
            <v>19.170000076293945</v>
          </cell>
        </row>
        <row r="153">
          <cell r="C153">
            <v>17.629999160766602</v>
          </cell>
          <cell r="D153">
            <v>17.940000534057617</v>
          </cell>
          <cell r="E153">
            <v>18.149999618530273</v>
          </cell>
          <cell r="F153">
            <v>18.309999465942383</v>
          </cell>
          <cell r="G153">
            <v>18.450000762939453</v>
          </cell>
          <cell r="H153">
            <v>18.569999694824219</v>
          </cell>
          <cell r="I153">
            <v>18.659999847412109</v>
          </cell>
          <cell r="J153">
            <v>18.739999771118164</v>
          </cell>
          <cell r="K153">
            <v>18.809999465942383</v>
          </cell>
          <cell r="L153">
            <v>18.879999160766602</v>
          </cell>
          <cell r="M153">
            <v>18.930000305175781</v>
          </cell>
          <cell r="N153">
            <v>18.969999313354492</v>
          </cell>
        </row>
        <row r="154">
          <cell r="C154">
            <v>17.75</v>
          </cell>
          <cell r="D154">
            <v>18.020000457763672</v>
          </cell>
          <cell r="E154">
            <v>18.209999084472656</v>
          </cell>
          <cell r="F154">
            <v>18.360000610351563</v>
          </cell>
          <cell r="G154">
            <v>18.5</v>
          </cell>
          <cell r="H154">
            <v>18.610000610351563</v>
          </cell>
          <cell r="I154">
            <v>18.700000762939453</v>
          </cell>
          <cell r="J154">
            <v>18.770000457763672</v>
          </cell>
          <cell r="K154">
            <v>18.840000152587891</v>
          </cell>
          <cell r="L154">
            <v>18.889999389648438</v>
          </cell>
          <cell r="M154">
            <v>18.940000534057617</v>
          </cell>
          <cell r="N154">
            <v>18.969999313354492</v>
          </cell>
        </row>
        <row r="155">
          <cell r="C155">
            <v>18.069999694824219</v>
          </cell>
          <cell r="D155">
            <v>18.280000686645508</v>
          </cell>
          <cell r="E155">
            <v>18.440000534057617</v>
          </cell>
          <cell r="F155">
            <v>18.569999694824219</v>
          </cell>
          <cell r="G155">
            <v>18.690000534057617</v>
          </cell>
          <cell r="H155">
            <v>18.780000686645508</v>
          </cell>
          <cell r="I155">
            <v>18.860000610351563</v>
          </cell>
          <cell r="J155">
            <v>18.920000076293945</v>
          </cell>
          <cell r="K155">
            <v>18.979999542236328</v>
          </cell>
          <cell r="L155">
            <v>19.030000686645508</v>
          </cell>
          <cell r="M155">
            <v>19.069999694824219</v>
          </cell>
          <cell r="N155">
            <v>19.100000381469727</v>
          </cell>
        </row>
        <row r="156">
          <cell r="C156">
            <v>18.420000076293945</v>
          </cell>
          <cell r="D156">
            <v>18.620000839233398</v>
          </cell>
          <cell r="E156">
            <v>18.75</v>
          </cell>
          <cell r="F156">
            <v>18.860000610351563</v>
          </cell>
          <cell r="G156">
            <v>18.969999313354492</v>
          </cell>
          <cell r="H156">
            <v>19.049999237060547</v>
          </cell>
          <cell r="I156">
            <v>19.120000839233398</v>
          </cell>
          <cell r="J156">
            <v>19.170000076293945</v>
          </cell>
          <cell r="K156">
            <v>19.219999313354492</v>
          </cell>
          <cell r="L156">
            <v>19.270000457763672</v>
          </cell>
          <cell r="M156">
            <v>19.309999465942383</v>
          </cell>
          <cell r="N156">
            <v>19.329999923706055</v>
          </cell>
        </row>
        <row r="157">
          <cell r="C157">
            <v>18.229999542236328</v>
          </cell>
          <cell r="D157">
            <v>18.440000534057617</v>
          </cell>
          <cell r="E157">
            <v>18.579999923706055</v>
          </cell>
          <cell r="F157">
            <v>18.690000534057617</v>
          </cell>
          <cell r="G157">
            <v>18.799999237060547</v>
          </cell>
          <cell r="H157">
            <v>18.879999160766602</v>
          </cell>
          <cell r="I157">
            <v>18.959999084472656</v>
          </cell>
          <cell r="J157">
            <v>19.010000228881836</v>
          </cell>
          <cell r="K157">
            <v>19.059999465942383</v>
          </cell>
          <cell r="L157">
            <v>19.110000610351563</v>
          </cell>
          <cell r="M157">
            <v>19.149999618530273</v>
          </cell>
          <cell r="N157">
            <v>19.170000076293945</v>
          </cell>
        </row>
        <row r="158">
          <cell r="C158">
            <v>18.120000839233398</v>
          </cell>
          <cell r="D158">
            <v>18.329999923706055</v>
          </cell>
          <cell r="E158">
            <v>18.489999771118164</v>
          </cell>
          <cell r="F158">
            <v>18.600000381469727</v>
          </cell>
          <cell r="G158">
            <v>18.709999084472656</v>
          </cell>
          <cell r="H158">
            <v>18.790000915527344</v>
          </cell>
          <cell r="I158">
            <v>18.870000839233398</v>
          </cell>
          <cell r="J158">
            <v>18.930000305175781</v>
          </cell>
          <cell r="K158">
            <v>18.989999771118164</v>
          </cell>
          <cell r="L158">
            <v>19.049999237060547</v>
          </cell>
          <cell r="M158">
            <v>19.090000152587891</v>
          </cell>
          <cell r="N158">
            <v>19.110000610351563</v>
          </cell>
        </row>
        <row r="159">
          <cell r="C159">
            <v>17.879999160766602</v>
          </cell>
          <cell r="D159">
            <v>18.159999847412109</v>
          </cell>
          <cell r="E159">
            <v>18.340000152587891</v>
          </cell>
          <cell r="F159">
            <v>18.459999084472656</v>
          </cell>
          <cell r="G159">
            <v>18.579999923706055</v>
          </cell>
          <cell r="H159">
            <v>18.670000076293945</v>
          </cell>
          <cell r="I159">
            <v>18.75</v>
          </cell>
          <cell r="J159">
            <v>18.819999694824219</v>
          </cell>
          <cell r="K159">
            <v>18.889999389648438</v>
          </cell>
          <cell r="L159">
            <v>18.959999084472656</v>
          </cell>
          <cell r="M159">
            <v>19.010000228881836</v>
          </cell>
          <cell r="N159">
            <v>19.040000915527344</v>
          </cell>
        </row>
        <row r="160">
          <cell r="C160">
            <v>17.969999313354492</v>
          </cell>
          <cell r="D160">
            <v>18.25</v>
          </cell>
          <cell r="E160">
            <v>18.440000534057617</v>
          </cell>
          <cell r="F160">
            <v>18.569999694824219</v>
          </cell>
          <cell r="G160">
            <v>18.690000534057617</v>
          </cell>
          <cell r="H160">
            <v>18.780000686645508</v>
          </cell>
          <cell r="I160">
            <v>18.870000839233398</v>
          </cell>
          <cell r="J160">
            <v>18.950000762939453</v>
          </cell>
          <cell r="K160">
            <v>19.030000686645508</v>
          </cell>
          <cell r="L160">
            <v>19.100000381469727</v>
          </cell>
          <cell r="M160">
            <v>19.149999618530273</v>
          </cell>
          <cell r="N160">
            <v>19.180000305175781</v>
          </cell>
        </row>
        <row r="161">
          <cell r="C161">
            <v>17.850000381469727</v>
          </cell>
          <cell r="D161">
            <v>18.159999847412109</v>
          </cell>
          <cell r="E161">
            <v>18.370000839233398</v>
          </cell>
          <cell r="F161">
            <v>18.520000457763672</v>
          </cell>
          <cell r="G161">
            <v>18.649999618530273</v>
          </cell>
          <cell r="H161">
            <v>18.75</v>
          </cell>
          <cell r="I161">
            <v>18.840000152587891</v>
          </cell>
          <cell r="J161">
            <v>18.920000076293945</v>
          </cell>
          <cell r="K161">
            <v>19</v>
          </cell>
          <cell r="L161">
            <v>19.069999694824219</v>
          </cell>
          <cell r="M161">
            <v>19.120000839233398</v>
          </cell>
          <cell r="N161">
            <v>19.159999847412109</v>
          </cell>
        </row>
        <row r="162">
          <cell r="C162">
            <v>17.799999237060547</v>
          </cell>
          <cell r="D162">
            <v>18.110000610351563</v>
          </cell>
          <cell r="E162">
            <v>18.329999923706055</v>
          </cell>
          <cell r="F162">
            <v>18.489999771118164</v>
          </cell>
          <cell r="G162">
            <v>18.620000839233398</v>
          </cell>
          <cell r="H162">
            <v>18.719999313354492</v>
          </cell>
          <cell r="I162">
            <v>18.799999237060547</v>
          </cell>
          <cell r="J162">
            <v>18.870000839233398</v>
          </cell>
          <cell r="K162">
            <v>18.940000534057617</v>
          </cell>
          <cell r="L162">
            <v>19</v>
          </cell>
          <cell r="M162">
            <v>19.049999237060547</v>
          </cell>
          <cell r="N162">
            <v>19.090000152587891</v>
          </cell>
        </row>
        <row r="163">
          <cell r="C163">
            <v>17.569999694824219</v>
          </cell>
          <cell r="D163">
            <v>17.899999618530273</v>
          </cell>
          <cell r="E163">
            <v>18.129999160766602</v>
          </cell>
          <cell r="F163">
            <v>18.299999237060547</v>
          </cell>
          <cell r="G163">
            <v>18.440000534057617</v>
          </cell>
          <cell r="H163">
            <v>18.549999237060547</v>
          </cell>
          <cell r="I163">
            <v>18.629999160766602</v>
          </cell>
          <cell r="J163">
            <v>18.700000762939453</v>
          </cell>
          <cell r="K163">
            <v>18.770000457763672</v>
          </cell>
          <cell r="L163">
            <v>18.829999923706055</v>
          </cell>
          <cell r="M163">
            <v>18.879999160766602</v>
          </cell>
          <cell r="N163">
            <v>18.920000076293945</v>
          </cell>
        </row>
        <row r="164">
          <cell r="C164">
            <v>17.270000457763672</v>
          </cell>
          <cell r="D164">
            <v>17.670000076293945</v>
          </cell>
          <cell r="E164">
            <v>17.909999847412109</v>
          </cell>
          <cell r="F164">
            <v>18.100000381469727</v>
          </cell>
          <cell r="G164">
            <v>18.25</v>
          </cell>
          <cell r="H164">
            <v>18.370000839233398</v>
          </cell>
          <cell r="I164">
            <v>18.459999084472656</v>
          </cell>
          <cell r="J164">
            <v>18.540000915527344</v>
          </cell>
          <cell r="K164">
            <v>18.620000839233398</v>
          </cell>
          <cell r="L164">
            <v>18.690000534057617</v>
          </cell>
          <cell r="M164">
            <v>18.75</v>
          </cell>
          <cell r="N164">
            <v>18.799999237060547</v>
          </cell>
        </row>
        <row r="165">
          <cell r="C165">
            <v>17.549999237060547</v>
          </cell>
          <cell r="D165">
            <v>17.940000534057617</v>
          </cell>
          <cell r="E165">
            <v>18.180000305175781</v>
          </cell>
          <cell r="F165">
            <v>18.370000839233398</v>
          </cell>
          <cell r="G165">
            <v>18.520000457763672</v>
          </cell>
          <cell r="H165">
            <v>18.639999389648438</v>
          </cell>
          <cell r="I165">
            <v>18.729999542236328</v>
          </cell>
          <cell r="J165">
            <v>18.809999465942383</v>
          </cell>
          <cell r="K165">
            <v>18.889999389648438</v>
          </cell>
          <cell r="L165">
            <v>18.959999084472656</v>
          </cell>
          <cell r="M165">
            <v>19.020000457763672</v>
          </cell>
          <cell r="N165">
            <v>19.069999694824219</v>
          </cell>
        </row>
        <row r="166">
          <cell r="C166">
            <v>17.520000457763672</v>
          </cell>
          <cell r="D166">
            <v>17.899999618530273</v>
          </cell>
          <cell r="E166">
            <v>18.149999618530273</v>
          </cell>
          <cell r="F166">
            <v>18.340000152587891</v>
          </cell>
          <cell r="G166">
            <v>18.5</v>
          </cell>
          <cell r="H166">
            <v>18.620000839233398</v>
          </cell>
          <cell r="I166">
            <v>18.719999313354492</v>
          </cell>
          <cell r="J166">
            <v>18.809999465942383</v>
          </cell>
          <cell r="K166">
            <v>18.899999618530273</v>
          </cell>
          <cell r="L166">
            <v>18.969999313354492</v>
          </cell>
          <cell r="M166">
            <v>19.030000686645508</v>
          </cell>
          <cell r="N166">
            <v>19.079999923706055</v>
          </cell>
        </row>
        <row r="167">
          <cell r="C167">
            <v>17.879999160766602</v>
          </cell>
          <cell r="D167">
            <v>18.25</v>
          </cell>
          <cell r="E167">
            <v>18.489999771118164</v>
          </cell>
          <cell r="F167">
            <v>18.659999847412109</v>
          </cell>
          <cell r="G167">
            <v>18.809999465942383</v>
          </cell>
          <cell r="H167">
            <v>18.920000076293945</v>
          </cell>
          <cell r="I167">
            <v>19.010000228881836</v>
          </cell>
          <cell r="J167">
            <v>19.090000152587891</v>
          </cell>
          <cell r="K167">
            <v>19.170000076293945</v>
          </cell>
          <cell r="L167">
            <v>19.239999771118164</v>
          </cell>
          <cell r="M167">
            <v>19.299999237060547</v>
          </cell>
          <cell r="N167">
            <v>19.350000381469727</v>
          </cell>
        </row>
        <row r="168">
          <cell r="C168">
            <v>18.180000305175781</v>
          </cell>
          <cell r="D168">
            <v>18.530000686645508</v>
          </cell>
          <cell r="E168">
            <v>18.770000457763672</v>
          </cell>
          <cell r="F168">
            <v>18.930000305175781</v>
          </cell>
          <cell r="G168">
            <v>19.069999694824219</v>
          </cell>
          <cell r="H168">
            <v>19.180000305175781</v>
          </cell>
          <cell r="I168">
            <v>19.270000457763672</v>
          </cell>
          <cell r="J168">
            <v>19.340000152587891</v>
          </cell>
          <cell r="K168">
            <v>19.409999847412109</v>
          </cell>
          <cell r="L168">
            <v>19.469999313354492</v>
          </cell>
          <cell r="M168">
            <v>19.530000686645508</v>
          </cell>
          <cell r="N168">
            <v>19.579999923706055</v>
          </cell>
        </row>
        <row r="169">
          <cell r="C169">
            <v>18.139999389648438</v>
          </cell>
          <cell r="D169">
            <v>18.530000686645508</v>
          </cell>
          <cell r="E169">
            <v>18.780000686645508</v>
          </cell>
          <cell r="F169">
            <v>18.930000305175781</v>
          </cell>
          <cell r="G169">
            <v>19.059999465942383</v>
          </cell>
          <cell r="H169">
            <v>19.159999847412109</v>
          </cell>
          <cell r="I169">
            <v>19.25</v>
          </cell>
          <cell r="J169">
            <v>19.319999694824219</v>
          </cell>
          <cell r="K169">
            <v>19.379999160766602</v>
          </cell>
          <cell r="L169">
            <v>19.440000534057617</v>
          </cell>
          <cell r="M169">
            <v>19.5</v>
          </cell>
          <cell r="N169">
            <v>19.549999237060547</v>
          </cell>
        </row>
        <row r="170">
          <cell r="C170">
            <v>17.860000610351563</v>
          </cell>
          <cell r="D170">
            <v>18.299999237060547</v>
          </cell>
          <cell r="E170">
            <v>18.579999923706055</v>
          </cell>
          <cell r="F170">
            <v>18.760000228881836</v>
          </cell>
          <cell r="G170">
            <v>18.899999618530273</v>
          </cell>
          <cell r="H170">
            <v>19.010000228881836</v>
          </cell>
          <cell r="I170">
            <v>19.110000610351563</v>
          </cell>
          <cell r="J170">
            <v>19.180000305175781</v>
          </cell>
          <cell r="K170">
            <v>19.25</v>
          </cell>
          <cell r="L170">
            <v>19.309999465942383</v>
          </cell>
          <cell r="M170">
            <v>19.370000839233398</v>
          </cell>
          <cell r="N170">
            <v>19.420000076293945</v>
          </cell>
        </row>
        <row r="171">
          <cell r="C171">
            <v>17.920000076293945</v>
          </cell>
          <cell r="D171">
            <v>18.350000381469727</v>
          </cell>
          <cell r="E171">
            <v>18.629999160766602</v>
          </cell>
          <cell r="F171">
            <v>18.809999465942383</v>
          </cell>
          <cell r="G171">
            <v>18.950000762939453</v>
          </cell>
          <cell r="H171">
            <v>19.069999694824219</v>
          </cell>
          <cell r="I171">
            <v>19.170000076293945</v>
          </cell>
          <cell r="J171">
            <v>19.239999771118164</v>
          </cell>
          <cell r="K171">
            <v>19.309999465942383</v>
          </cell>
          <cell r="L171">
            <v>19.370000839233398</v>
          </cell>
          <cell r="M171">
            <v>19.430000305175781</v>
          </cell>
          <cell r="N171">
            <v>19.479999542236328</v>
          </cell>
        </row>
        <row r="172">
          <cell r="C172">
            <v>17.659999847412109</v>
          </cell>
          <cell r="D172">
            <v>18.129999160766602</v>
          </cell>
          <cell r="E172">
            <v>18.430000305175781</v>
          </cell>
          <cell r="F172">
            <v>18.639999389648438</v>
          </cell>
          <cell r="G172">
            <v>18.799999237060547</v>
          </cell>
          <cell r="H172">
            <v>18.940000534057617</v>
          </cell>
          <cell r="I172">
            <v>19.059999465942383</v>
          </cell>
          <cell r="J172">
            <v>19.139999389648438</v>
          </cell>
          <cell r="K172">
            <v>19.219999313354492</v>
          </cell>
          <cell r="L172">
            <v>19.290000915527344</v>
          </cell>
          <cell r="M172">
            <v>19.360000610351563</v>
          </cell>
          <cell r="N172">
            <v>19.409999847412109</v>
          </cell>
        </row>
        <row r="173">
          <cell r="C173">
            <v>17.649999618530273</v>
          </cell>
          <cell r="D173">
            <v>18.149999618530273</v>
          </cell>
          <cell r="E173">
            <v>18.450000762939453</v>
          </cell>
          <cell r="F173">
            <v>18.659999847412109</v>
          </cell>
          <cell r="G173">
            <v>18.819999694824219</v>
          </cell>
          <cell r="H173">
            <v>18.959999084472656</v>
          </cell>
          <cell r="I173">
            <v>19.079999923706055</v>
          </cell>
          <cell r="J173">
            <v>19.159999847412109</v>
          </cell>
          <cell r="K173">
            <v>19.239999771118164</v>
          </cell>
          <cell r="L173">
            <v>19.309999465942383</v>
          </cell>
          <cell r="M173">
            <v>19.379999160766602</v>
          </cell>
          <cell r="N173">
            <v>19.430000305175781</v>
          </cell>
        </row>
        <row r="174">
          <cell r="C174">
            <v>18.090000152587891</v>
          </cell>
          <cell r="D174">
            <v>18.290000915527344</v>
          </cell>
          <cell r="E174">
            <v>18.559999465942383</v>
          </cell>
          <cell r="F174">
            <v>18.739999771118164</v>
          </cell>
          <cell r="G174">
            <v>18.889999389648438</v>
          </cell>
          <cell r="H174">
            <v>19.010000228881836</v>
          </cell>
          <cell r="I174">
            <v>19.120000839233398</v>
          </cell>
          <cell r="J174">
            <v>19.190000534057617</v>
          </cell>
          <cell r="K174">
            <v>19.260000228881836</v>
          </cell>
          <cell r="L174">
            <v>19.329999923706055</v>
          </cell>
          <cell r="M174">
            <v>19.399999618530273</v>
          </cell>
          <cell r="N174">
            <v>19.450000762939453</v>
          </cell>
        </row>
        <row r="175">
          <cell r="C175">
            <v>18.530000686645508</v>
          </cell>
          <cell r="D175">
            <v>18.770000457763672</v>
          </cell>
          <cell r="E175">
            <v>18.930000305175781</v>
          </cell>
          <cell r="F175">
            <v>19.069999694824219</v>
          </cell>
          <cell r="G175">
            <v>19.180000305175781</v>
          </cell>
          <cell r="H175">
            <v>19.280000686645508</v>
          </cell>
          <cell r="I175">
            <v>19.350000381469727</v>
          </cell>
          <cell r="J175">
            <v>19.420000076293945</v>
          </cell>
          <cell r="K175">
            <v>19.489999771118164</v>
          </cell>
          <cell r="L175">
            <v>19.559999465942383</v>
          </cell>
          <cell r="M175">
            <v>19.610000610351563</v>
          </cell>
          <cell r="N175">
            <v>19.620000839233398</v>
          </cell>
        </row>
        <row r="176">
          <cell r="C176">
            <v>18.350000381469727</v>
          </cell>
          <cell r="D176">
            <v>18.620000839233398</v>
          </cell>
          <cell r="E176">
            <v>18.790000915527344</v>
          </cell>
          <cell r="F176">
            <v>18.920000076293945</v>
          </cell>
          <cell r="G176">
            <v>19.030000686645508</v>
          </cell>
          <cell r="H176">
            <v>19.139999389648438</v>
          </cell>
          <cell r="I176">
            <v>19.209999084472656</v>
          </cell>
          <cell r="J176">
            <v>19.280000686645508</v>
          </cell>
          <cell r="K176">
            <v>19.350000381469727</v>
          </cell>
          <cell r="L176">
            <v>19.420000076293945</v>
          </cell>
          <cell r="M176">
            <v>19.469999313354492</v>
          </cell>
          <cell r="N176">
            <v>19.489999771118164</v>
          </cell>
        </row>
        <row r="177">
          <cell r="C177">
            <v>18.319999694824219</v>
          </cell>
          <cell r="D177">
            <v>18.610000610351563</v>
          </cell>
          <cell r="E177">
            <v>18.799999237060547</v>
          </cell>
          <cell r="F177">
            <v>18.930000305175781</v>
          </cell>
          <cell r="G177">
            <v>19.040000915527344</v>
          </cell>
          <cell r="H177">
            <v>19.149999618530273</v>
          </cell>
          <cell r="I177">
            <v>19.219999313354492</v>
          </cell>
          <cell r="J177">
            <v>19.290000915527344</v>
          </cell>
          <cell r="K177">
            <v>19.360000610351563</v>
          </cell>
          <cell r="L177">
            <v>19.430000305175781</v>
          </cell>
          <cell r="M177">
            <v>19.479999542236328</v>
          </cell>
          <cell r="N177">
            <v>19.5</v>
          </cell>
        </row>
        <row r="178">
          <cell r="C178">
            <v>18.360000610351563</v>
          </cell>
          <cell r="D178">
            <v>18.620000839233398</v>
          </cell>
          <cell r="E178">
            <v>18.809999465942383</v>
          </cell>
          <cell r="F178">
            <v>18.940000534057617</v>
          </cell>
          <cell r="G178">
            <v>19.049999237060547</v>
          </cell>
          <cell r="H178">
            <v>19.149999618530273</v>
          </cell>
          <cell r="I178">
            <v>19.219999313354492</v>
          </cell>
          <cell r="J178">
            <v>19.290000915527344</v>
          </cell>
          <cell r="K178">
            <v>19.350000381469727</v>
          </cell>
          <cell r="L178">
            <v>19.409999847412109</v>
          </cell>
          <cell r="M178">
            <v>19.450000762939453</v>
          </cell>
          <cell r="N178">
            <v>19.469999313354492</v>
          </cell>
        </row>
        <row r="179">
          <cell r="C179">
            <v>18.799999237060547</v>
          </cell>
          <cell r="D179">
            <v>19</v>
          </cell>
          <cell r="E179">
            <v>19.159999847412109</v>
          </cell>
          <cell r="F179">
            <v>19.270000457763672</v>
          </cell>
          <cell r="G179">
            <v>19.360000610351563</v>
          </cell>
          <cell r="H179">
            <v>19.450000762939453</v>
          </cell>
          <cell r="I179">
            <v>19.520000457763672</v>
          </cell>
          <cell r="J179">
            <v>19.579999923706055</v>
          </cell>
          <cell r="K179">
            <v>19.639999389648438</v>
          </cell>
          <cell r="L179">
            <v>19.700000762939453</v>
          </cell>
          <cell r="M179">
            <v>19.739999771118164</v>
          </cell>
          <cell r="N179">
            <v>19.75</v>
          </cell>
        </row>
        <row r="180">
          <cell r="C180">
            <v>18.729999542236328</v>
          </cell>
          <cell r="D180">
            <v>18.920000076293945</v>
          </cell>
          <cell r="E180">
            <v>19.079999923706055</v>
          </cell>
          <cell r="F180">
            <v>19.190000534057617</v>
          </cell>
          <cell r="G180">
            <v>19.280000686645508</v>
          </cell>
          <cell r="H180">
            <v>19.360000610351563</v>
          </cell>
          <cell r="I180">
            <v>19.420000076293945</v>
          </cell>
          <cell r="J180">
            <v>19.479999542236328</v>
          </cell>
          <cell r="K180">
            <v>19.540000915527344</v>
          </cell>
          <cell r="L180">
            <v>19.600000381469727</v>
          </cell>
          <cell r="M180">
            <v>19.639999389648438</v>
          </cell>
          <cell r="N180">
            <v>19.649999618530273</v>
          </cell>
        </row>
        <row r="181">
          <cell r="C181">
            <v>18.290000915527344</v>
          </cell>
          <cell r="D181">
            <v>18.549999237060547</v>
          </cell>
          <cell r="E181">
            <v>18.739999771118164</v>
          </cell>
          <cell r="F181">
            <v>18.870000839233398</v>
          </cell>
          <cell r="G181">
            <v>18.969999313354492</v>
          </cell>
          <cell r="H181">
            <v>19.069999694824219</v>
          </cell>
          <cell r="I181">
            <v>19.139999389648438</v>
          </cell>
          <cell r="J181">
            <v>19.209999084472656</v>
          </cell>
          <cell r="K181">
            <v>19.280000686645508</v>
          </cell>
          <cell r="L181">
            <v>19.340000152587891</v>
          </cell>
          <cell r="M181">
            <v>19.379999160766602</v>
          </cell>
          <cell r="N181">
            <v>19.399999618530273</v>
          </cell>
        </row>
        <row r="182">
          <cell r="C182">
            <v>17.969999313354492</v>
          </cell>
          <cell r="D182">
            <v>18.270000457763672</v>
          </cell>
          <cell r="E182">
            <v>18.450000762939453</v>
          </cell>
          <cell r="F182">
            <v>18.600000381469727</v>
          </cell>
          <cell r="G182">
            <v>18.719999313354492</v>
          </cell>
          <cell r="H182">
            <v>18.840000152587891</v>
          </cell>
          <cell r="I182">
            <v>18.930000305175781</v>
          </cell>
          <cell r="J182">
            <v>19.010000228881836</v>
          </cell>
          <cell r="K182">
            <v>19.090000152587891</v>
          </cell>
          <cell r="L182">
            <v>19.159999847412109</v>
          </cell>
          <cell r="M182">
            <v>19.200000762939453</v>
          </cell>
          <cell r="N182">
            <v>19.219999313354492</v>
          </cell>
        </row>
        <row r="183">
          <cell r="C183">
            <v>17.969999313354492</v>
          </cell>
          <cell r="D183">
            <v>18.270000457763672</v>
          </cell>
          <cell r="E183">
            <v>18.489999771118164</v>
          </cell>
          <cell r="F183">
            <v>18.649999618530273</v>
          </cell>
          <cell r="G183">
            <v>18.790000915527344</v>
          </cell>
          <cell r="H183">
            <v>18.909999847412109</v>
          </cell>
          <cell r="I183">
            <v>19.010000228881836</v>
          </cell>
          <cell r="J183">
            <v>19.100000381469727</v>
          </cell>
          <cell r="K183">
            <v>19.180000305175781</v>
          </cell>
          <cell r="L183">
            <v>19.260000228881836</v>
          </cell>
          <cell r="M183">
            <v>19.309999465942383</v>
          </cell>
          <cell r="N183">
            <v>19.340000152587891</v>
          </cell>
        </row>
        <row r="184">
          <cell r="C184">
            <v>17.729999542236328</v>
          </cell>
          <cell r="D184">
            <v>18.049999237060547</v>
          </cell>
          <cell r="E184">
            <v>18.299999237060547</v>
          </cell>
          <cell r="F184">
            <v>18.469999313354492</v>
          </cell>
          <cell r="G184">
            <v>18.620000839233398</v>
          </cell>
          <cell r="H184">
            <v>18.75</v>
          </cell>
          <cell r="I184">
            <v>18.850000381469727</v>
          </cell>
          <cell r="J184">
            <v>18.950000762939453</v>
          </cell>
          <cell r="K184">
            <v>19.030000686645508</v>
          </cell>
          <cell r="L184">
            <v>19.110000610351563</v>
          </cell>
          <cell r="M184">
            <v>19.170000076293945</v>
          </cell>
          <cell r="N184">
            <v>19.209999084472656</v>
          </cell>
        </row>
        <row r="185">
          <cell r="C185">
            <v>17.069999694824219</v>
          </cell>
          <cell r="D185">
            <v>17.420000076293945</v>
          </cell>
          <cell r="E185">
            <v>17.729999542236328</v>
          </cell>
          <cell r="F185">
            <v>17.950000762939453</v>
          </cell>
          <cell r="G185">
            <v>18.139999389648438</v>
          </cell>
          <cell r="H185">
            <v>18.299999237060547</v>
          </cell>
          <cell r="I185">
            <v>18.430000305175781</v>
          </cell>
          <cell r="J185">
            <v>18.559999465942383</v>
          </cell>
          <cell r="K185">
            <v>18.659999847412109</v>
          </cell>
          <cell r="L185">
            <v>18.760000228881836</v>
          </cell>
          <cell r="M185">
            <v>18.840000152587891</v>
          </cell>
          <cell r="N185">
            <v>18.889999389648438</v>
          </cell>
        </row>
        <row r="186">
          <cell r="C186">
            <v>17.030000686645508</v>
          </cell>
          <cell r="D186">
            <v>17.399999618530273</v>
          </cell>
          <cell r="E186">
            <v>17.700000762939453</v>
          </cell>
          <cell r="F186">
            <v>17.920000076293945</v>
          </cell>
          <cell r="G186">
            <v>18.120000839233398</v>
          </cell>
          <cell r="H186">
            <v>18.290000915527344</v>
          </cell>
          <cell r="I186">
            <v>18.430000305175781</v>
          </cell>
          <cell r="J186">
            <v>18.559999465942383</v>
          </cell>
          <cell r="K186">
            <v>18.659999847412109</v>
          </cell>
          <cell r="L186">
            <v>18.760000228881836</v>
          </cell>
          <cell r="M186">
            <v>18.840000152587891</v>
          </cell>
          <cell r="N186">
            <v>18.889999389648438</v>
          </cell>
        </row>
        <row r="187">
          <cell r="C187">
            <v>16.969999313354492</v>
          </cell>
          <cell r="D187">
            <v>17.360000610351563</v>
          </cell>
          <cell r="E187">
            <v>17.680000305175781</v>
          </cell>
          <cell r="F187">
            <v>17.899999618530273</v>
          </cell>
          <cell r="G187">
            <v>18.100000381469727</v>
          </cell>
          <cell r="H187">
            <v>18.270000457763672</v>
          </cell>
          <cell r="I187">
            <v>18.409999847412109</v>
          </cell>
          <cell r="J187">
            <v>18.540000915527344</v>
          </cell>
          <cell r="K187">
            <v>18.639999389648438</v>
          </cell>
          <cell r="L187">
            <v>18.739999771118164</v>
          </cell>
          <cell r="M187">
            <v>18.819999694824219</v>
          </cell>
          <cell r="N187">
            <v>18.870000839233398</v>
          </cell>
        </row>
        <row r="188">
          <cell r="C188">
            <v>16.760000228881836</v>
          </cell>
          <cell r="D188">
            <v>17.120000839233398</v>
          </cell>
          <cell r="E188">
            <v>17.459999084472656</v>
          </cell>
          <cell r="F188">
            <v>17.690000534057617</v>
          </cell>
          <cell r="G188">
            <v>17.899999618530273</v>
          </cell>
          <cell r="H188">
            <v>18.079999923706055</v>
          </cell>
          <cell r="I188">
            <v>18.229999542236328</v>
          </cell>
          <cell r="J188">
            <v>18.370000839233398</v>
          </cell>
          <cell r="K188">
            <v>18.479999542236328</v>
          </cell>
          <cell r="L188">
            <v>18.590000152587891</v>
          </cell>
          <cell r="M188">
            <v>18.680000305175781</v>
          </cell>
          <cell r="N188">
            <v>18.739999771118164</v>
          </cell>
        </row>
        <row r="189">
          <cell r="C189">
            <v>16.950000762939453</v>
          </cell>
          <cell r="D189">
            <v>17.299999237060547</v>
          </cell>
          <cell r="E189">
            <v>17.659999847412109</v>
          </cell>
          <cell r="F189">
            <v>17.899999618530273</v>
          </cell>
          <cell r="G189">
            <v>18.110000610351563</v>
          </cell>
          <cell r="H189">
            <v>18.299999237060547</v>
          </cell>
          <cell r="I189">
            <v>18.459999084472656</v>
          </cell>
          <cell r="J189">
            <v>18.600000381469727</v>
          </cell>
          <cell r="K189">
            <v>18.719999313354492</v>
          </cell>
          <cell r="L189">
            <v>18.840000152587891</v>
          </cell>
          <cell r="M189">
            <v>18.940000534057617</v>
          </cell>
          <cell r="N189">
            <v>19.010000228881836</v>
          </cell>
        </row>
        <row r="190">
          <cell r="C190">
            <v>16.959999084472656</v>
          </cell>
          <cell r="D190">
            <v>17.299999237060547</v>
          </cell>
          <cell r="E190">
            <v>17.670000076293945</v>
          </cell>
          <cell r="F190">
            <v>17.920000076293945</v>
          </cell>
          <cell r="G190">
            <v>18.129999160766602</v>
          </cell>
          <cell r="H190">
            <v>18.329999923706055</v>
          </cell>
          <cell r="I190">
            <v>18.489999771118164</v>
          </cell>
          <cell r="J190">
            <v>18.629999160766602</v>
          </cell>
          <cell r="K190">
            <v>18.760000228881836</v>
          </cell>
          <cell r="L190">
            <v>18.889999389648438</v>
          </cell>
          <cell r="M190">
            <v>18.989999771118164</v>
          </cell>
          <cell r="N190">
            <v>19.059999465942383</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row r="32">
          <cell r="C32">
            <v>100</v>
          </cell>
        </row>
        <row r="45">
          <cell r="C45">
            <v>90</v>
          </cell>
        </row>
      </sheetData>
      <sheetData sheetId="107"/>
      <sheetData sheetId="108"/>
      <sheetData sheetId="109"/>
      <sheetData sheetId="110"/>
      <sheetData sheetId="111"/>
      <sheetData sheetId="112"/>
      <sheetData sheetId="113"/>
      <sheetData sheetId="114"/>
      <sheetData sheetId="115"/>
      <sheetData sheetId="116"/>
      <sheetData sheetId="117"/>
      <sheetData sheetId="118"/>
      <sheetData sheetId="119">
        <row r="18">
          <cell r="J18">
            <v>5.5E-2</v>
          </cell>
        </row>
        <row r="19">
          <cell r="J19">
            <v>322</v>
          </cell>
        </row>
      </sheetData>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row r="21">
          <cell r="G21">
            <v>5</v>
          </cell>
        </row>
        <row r="22">
          <cell r="G22">
            <v>0.01</v>
          </cell>
        </row>
        <row r="23">
          <cell r="G23">
            <v>252</v>
          </cell>
        </row>
      </sheetData>
      <sheetData sheetId="139"/>
      <sheetData sheetId="140"/>
      <sheetData sheetId="141"/>
      <sheetData sheetId="142"/>
      <sheetData sheetId="143"/>
      <sheetData sheetId="144"/>
      <sheetData sheetId="145"/>
      <sheetData sheetId="146"/>
      <sheetData sheetId="147">
        <row r="44">
          <cell r="D44">
            <v>25.34</v>
          </cell>
          <cell r="E44">
            <v>34.6</v>
          </cell>
          <cell r="F44">
            <v>44.21</v>
          </cell>
          <cell r="G44">
            <v>18.87</v>
          </cell>
        </row>
        <row r="45">
          <cell r="D45">
            <v>25.61</v>
          </cell>
          <cell r="E45">
            <v>35.270000000000003</v>
          </cell>
          <cell r="F45">
            <v>44.62</v>
          </cell>
          <cell r="G45">
            <v>19.28</v>
          </cell>
        </row>
        <row r="46">
          <cell r="D46">
            <v>25.29</v>
          </cell>
          <cell r="E46">
            <v>35</v>
          </cell>
          <cell r="F46">
            <v>44.25</v>
          </cell>
          <cell r="G46">
            <v>19</v>
          </cell>
        </row>
        <row r="47">
          <cell r="D47">
            <v>25.48</v>
          </cell>
          <cell r="E47">
            <v>35.75</v>
          </cell>
          <cell r="F47">
            <v>45.1</v>
          </cell>
          <cell r="G47">
            <v>19</v>
          </cell>
        </row>
        <row r="48">
          <cell r="D48">
            <v>25.1</v>
          </cell>
          <cell r="E48">
            <v>35.67</v>
          </cell>
          <cell r="F48">
            <v>44.65</v>
          </cell>
          <cell r="G48">
            <v>18.850000000000001</v>
          </cell>
        </row>
        <row r="49">
          <cell r="D49">
            <v>25.25</v>
          </cell>
          <cell r="E49">
            <v>35.9</v>
          </cell>
          <cell r="F49">
            <v>44.8</v>
          </cell>
          <cell r="G49">
            <v>19.04</v>
          </cell>
        </row>
        <row r="50">
          <cell r="D50">
            <v>25.55</v>
          </cell>
          <cell r="E50">
            <v>35.9</v>
          </cell>
          <cell r="F50">
            <v>45.05</v>
          </cell>
          <cell r="G50">
            <v>19</v>
          </cell>
        </row>
        <row r="51">
          <cell r="D51">
            <v>25.55</v>
          </cell>
          <cell r="E51">
            <v>35.659999999999997</v>
          </cell>
          <cell r="F51">
            <v>45.13</v>
          </cell>
          <cell r="G51">
            <v>18.850000000000001</v>
          </cell>
        </row>
        <row r="52">
          <cell r="D52">
            <v>25.74</v>
          </cell>
          <cell r="E52">
            <v>36.049999999999997</v>
          </cell>
          <cell r="F52">
            <v>45.9</v>
          </cell>
          <cell r="G52">
            <v>19.100000000000001</v>
          </cell>
        </row>
        <row r="53">
          <cell r="D53">
            <v>25.65</v>
          </cell>
          <cell r="E53">
            <v>35.799999999999997</v>
          </cell>
          <cell r="F53">
            <v>45.86</v>
          </cell>
          <cell r="G53">
            <v>19.02</v>
          </cell>
        </row>
        <row r="54">
          <cell r="D54">
            <v>25.69</v>
          </cell>
          <cell r="E54">
            <v>35.93</v>
          </cell>
          <cell r="F54">
            <v>46.15</v>
          </cell>
          <cell r="G54">
            <v>19.05</v>
          </cell>
        </row>
        <row r="55">
          <cell r="D55">
            <v>26.15</v>
          </cell>
          <cell r="E55">
            <v>36.43</v>
          </cell>
          <cell r="F55">
            <v>46.8</v>
          </cell>
          <cell r="G55">
            <v>19.3</v>
          </cell>
        </row>
        <row r="56">
          <cell r="D56">
            <v>26.12</v>
          </cell>
          <cell r="E56">
            <v>36.1</v>
          </cell>
          <cell r="F56">
            <v>46.3</v>
          </cell>
          <cell r="G56">
            <v>19.100000000000001</v>
          </cell>
        </row>
        <row r="57">
          <cell r="D57">
            <v>26.4</v>
          </cell>
          <cell r="E57">
            <v>36.380000000000003</v>
          </cell>
          <cell r="F57">
            <v>45.79</v>
          </cell>
          <cell r="G57">
            <v>18.98</v>
          </cell>
        </row>
        <row r="58">
          <cell r="D58">
            <v>26.38</v>
          </cell>
          <cell r="E58">
            <v>36.200000000000003</v>
          </cell>
          <cell r="F58">
            <v>45.75</v>
          </cell>
          <cell r="G58">
            <v>18.920000000000002</v>
          </cell>
        </row>
        <row r="59">
          <cell r="D59">
            <v>26.55</v>
          </cell>
          <cell r="E59">
            <v>36.520000000000003</v>
          </cell>
          <cell r="F59">
            <v>44.57</v>
          </cell>
          <cell r="G59">
            <v>19.36</v>
          </cell>
        </row>
        <row r="60">
          <cell r="D60">
            <v>26.65</v>
          </cell>
          <cell r="E60">
            <v>36.299999999999997</v>
          </cell>
          <cell r="F60">
            <v>44.55</v>
          </cell>
          <cell r="G60">
            <v>19.32</v>
          </cell>
        </row>
        <row r="61">
          <cell r="D61">
            <v>26.89</v>
          </cell>
          <cell r="E61">
            <v>36.6</v>
          </cell>
          <cell r="F61">
            <v>44.93</v>
          </cell>
          <cell r="G61">
            <v>19.420000000000002</v>
          </cell>
        </row>
        <row r="62">
          <cell r="D62">
            <v>27.15</v>
          </cell>
          <cell r="E62">
            <v>36.79</v>
          </cell>
          <cell r="F62">
            <v>45.38</v>
          </cell>
          <cell r="G62">
            <v>19.649999999999999</v>
          </cell>
        </row>
        <row r="63">
          <cell r="D63">
            <v>27.04</v>
          </cell>
          <cell r="E63">
            <v>36.53</v>
          </cell>
          <cell r="F63">
            <v>45.35</v>
          </cell>
          <cell r="G63">
            <v>19.66</v>
          </cell>
        </row>
        <row r="64">
          <cell r="D64">
            <v>26.97</v>
          </cell>
          <cell r="E64">
            <v>36.700000000000003</v>
          </cell>
          <cell r="F64">
            <v>45.47</v>
          </cell>
          <cell r="G64">
            <v>19.93</v>
          </cell>
        </row>
        <row r="65">
          <cell r="D65">
            <v>26.81</v>
          </cell>
          <cell r="E65">
            <v>36.4</v>
          </cell>
          <cell r="F65">
            <v>45.44</v>
          </cell>
          <cell r="G65">
            <v>19.899999999999999</v>
          </cell>
        </row>
        <row r="66">
          <cell r="D66">
            <v>26.64</v>
          </cell>
          <cell r="E66">
            <v>36.36</v>
          </cell>
          <cell r="F66">
            <v>45.6</v>
          </cell>
          <cell r="G66">
            <v>20.440000000000001</v>
          </cell>
        </row>
        <row r="67">
          <cell r="D67">
            <v>26.2</v>
          </cell>
          <cell r="E67">
            <v>35.619999999999997</v>
          </cell>
          <cell r="F67">
            <v>44.51</v>
          </cell>
          <cell r="G67">
            <v>20.09</v>
          </cell>
        </row>
        <row r="68">
          <cell r="D68">
            <v>26.45</v>
          </cell>
          <cell r="E68">
            <v>35.85</v>
          </cell>
          <cell r="F68">
            <v>44.7</v>
          </cell>
          <cell r="G68">
            <v>20.3</v>
          </cell>
        </row>
        <row r="69">
          <cell r="D69">
            <v>26.45</v>
          </cell>
          <cell r="E69">
            <v>35.65</v>
          </cell>
          <cell r="F69">
            <v>44.65</v>
          </cell>
          <cell r="G69">
            <v>20.47</v>
          </cell>
        </row>
        <row r="70">
          <cell r="D70">
            <v>26.85</v>
          </cell>
          <cell r="E70">
            <v>36.01</v>
          </cell>
          <cell r="F70">
            <v>45.16</v>
          </cell>
          <cell r="G70">
            <v>20.8</v>
          </cell>
        </row>
        <row r="71">
          <cell r="D71">
            <v>26.95</v>
          </cell>
          <cell r="E71">
            <v>36.119999999999997</v>
          </cell>
          <cell r="F71">
            <v>45.41</v>
          </cell>
          <cell r="G71">
            <v>20.71</v>
          </cell>
        </row>
        <row r="72">
          <cell r="D72">
            <v>27.25</v>
          </cell>
          <cell r="E72">
            <v>36.32</v>
          </cell>
          <cell r="F72">
            <v>45.72</v>
          </cell>
          <cell r="G72">
            <v>20.7</v>
          </cell>
        </row>
        <row r="73">
          <cell r="D73">
            <v>27.09</v>
          </cell>
          <cell r="E73">
            <v>35.93</v>
          </cell>
          <cell r="F73">
            <v>45.74</v>
          </cell>
          <cell r="G73">
            <v>20.66</v>
          </cell>
        </row>
        <row r="74">
          <cell r="D74">
            <v>27.22</v>
          </cell>
          <cell r="E74">
            <v>36.21</v>
          </cell>
          <cell r="F74">
            <v>46.12</v>
          </cell>
          <cell r="G74">
            <v>20.3</v>
          </cell>
        </row>
        <row r="75">
          <cell r="D75">
            <v>27.36</v>
          </cell>
          <cell r="E75">
            <v>36.5</v>
          </cell>
          <cell r="F75">
            <v>46.1</v>
          </cell>
          <cell r="G75">
            <v>20.6</v>
          </cell>
        </row>
        <row r="76">
          <cell r="D76">
            <v>27.09</v>
          </cell>
          <cell r="E76">
            <v>36.200000000000003</v>
          </cell>
          <cell r="F76">
            <v>45.81</v>
          </cell>
          <cell r="G76">
            <v>20.38</v>
          </cell>
        </row>
        <row r="77">
          <cell r="D77">
            <v>27.23</v>
          </cell>
          <cell r="E77">
            <v>36.200000000000003</v>
          </cell>
          <cell r="F77">
            <v>45.99</v>
          </cell>
          <cell r="G77">
            <v>20.5</v>
          </cell>
        </row>
        <row r="78">
          <cell r="D78">
            <v>27.4</v>
          </cell>
          <cell r="E78">
            <v>36.26</v>
          </cell>
          <cell r="F78">
            <v>46.09</v>
          </cell>
          <cell r="G78">
            <v>20.8</v>
          </cell>
        </row>
        <row r="79">
          <cell r="D79">
            <v>27.2</v>
          </cell>
          <cell r="E79">
            <v>35.97</v>
          </cell>
          <cell r="F79">
            <v>45.47</v>
          </cell>
          <cell r="G79">
            <v>20.5</v>
          </cell>
        </row>
        <row r="80">
          <cell r="D80">
            <v>27.24</v>
          </cell>
          <cell r="E80">
            <v>36.200000000000003</v>
          </cell>
          <cell r="F80">
            <v>45.95</v>
          </cell>
          <cell r="G80">
            <v>20.59</v>
          </cell>
        </row>
        <row r="81">
          <cell r="D81">
            <v>27.22</v>
          </cell>
          <cell r="E81">
            <v>36.4</v>
          </cell>
          <cell r="F81">
            <v>46.1</v>
          </cell>
          <cell r="G81">
            <v>20.329999999999998</v>
          </cell>
        </row>
        <row r="82">
          <cell r="D82">
            <v>27.34</v>
          </cell>
          <cell r="E82">
            <v>36.68</v>
          </cell>
          <cell r="F82">
            <v>46.37</v>
          </cell>
          <cell r="G82">
            <v>20.58</v>
          </cell>
        </row>
        <row r="83">
          <cell r="D83">
            <v>27.15</v>
          </cell>
          <cell r="E83">
            <v>36.35</v>
          </cell>
          <cell r="F83">
            <v>46.11</v>
          </cell>
          <cell r="G83">
            <v>20.420000000000002</v>
          </cell>
        </row>
        <row r="84">
          <cell r="D84">
            <v>27.3</v>
          </cell>
          <cell r="E84">
            <v>36.94</v>
          </cell>
          <cell r="F84">
            <v>46.65</v>
          </cell>
          <cell r="G84">
            <v>20.5</v>
          </cell>
        </row>
        <row r="85">
          <cell r="D85">
            <v>27</v>
          </cell>
          <cell r="E85">
            <v>36.909999999999997</v>
          </cell>
          <cell r="F85">
            <v>46.4</v>
          </cell>
          <cell r="G85">
            <v>20.47</v>
          </cell>
        </row>
        <row r="86">
          <cell r="D86">
            <v>26.6</v>
          </cell>
          <cell r="E86">
            <v>36.64</v>
          </cell>
          <cell r="F86">
            <v>45.56</v>
          </cell>
          <cell r="G86">
            <v>20.21</v>
          </cell>
        </row>
        <row r="87">
          <cell r="D87">
            <v>26.29</v>
          </cell>
          <cell r="E87">
            <v>36.229999999999997</v>
          </cell>
          <cell r="F87">
            <v>45</v>
          </cell>
          <cell r="G87">
            <v>20.18</v>
          </cell>
        </row>
        <row r="88">
          <cell r="D88">
            <v>26</v>
          </cell>
          <cell r="E88">
            <v>36</v>
          </cell>
          <cell r="F88">
            <v>44.75</v>
          </cell>
          <cell r="G88">
            <v>19.89</v>
          </cell>
        </row>
        <row r="89">
          <cell r="D89">
            <v>26.1</v>
          </cell>
          <cell r="E89">
            <v>36.159999999999997</v>
          </cell>
          <cell r="F89">
            <v>44.72</v>
          </cell>
          <cell r="G89">
            <v>19.739999999999998</v>
          </cell>
        </row>
        <row r="90">
          <cell r="D90">
            <v>26.07</v>
          </cell>
          <cell r="E90">
            <v>36.049999999999997</v>
          </cell>
          <cell r="F90">
            <v>44.7</v>
          </cell>
          <cell r="G90">
            <v>19.82</v>
          </cell>
        </row>
        <row r="91">
          <cell r="D91">
            <v>26.76</v>
          </cell>
          <cell r="E91">
            <v>36.35</v>
          </cell>
          <cell r="F91">
            <v>45.15</v>
          </cell>
          <cell r="G91">
            <v>20.2</v>
          </cell>
        </row>
        <row r="92">
          <cell r="D92">
            <v>26.8</v>
          </cell>
          <cell r="E92">
            <v>36.340000000000003</v>
          </cell>
          <cell r="F92">
            <v>45.13</v>
          </cell>
          <cell r="G92">
            <v>20.18</v>
          </cell>
        </row>
        <row r="93">
          <cell r="D93">
            <v>26.86</v>
          </cell>
          <cell r="E93">
            <v>36.700000000000003</v>
          </cell>
          <cell r="F93">
            <v>45.75</v>
          </cell>
          <cell r="G93">
            <v>20.260000000000002</v>
          </cell>
        </row>
        <row r="94">
          <cell r="D94">
            <v>26.95</v>
          </cell>
          <cell r="E94">
            <v>36.799999999999997</v>
          </cell>
          <cell r="F94">
            <v>45.9</v>
          </cell>
          <cell r="G94">
            <v>20.37</v>
          </cell>
        </row>
        <row r="95">
          <cell r="D95">
            <v>27.13</v>
          </cell>
          <cell r="E95">
            <v>36.950000000000003</v>
          </cell>
          <cell r="F95">
            <v>46.11</v>
          </cell>
          <cell r="G95">
            <v>20.58</v>
          </cell>
        </row>
        <row r="96">
          <cell r="D96">
            <v>27.03</v>
          </cell>
          <cell r="E96">
            <v>37.090000000000003</v>
          </cell>
          <cell r="F96">
            <v>45.95</v>
          </cell>
          <cell r="G96">
            <v>20.63</v>
          </cell>
        </row>
        <row r="97">
          <cell r="D97">
            <v>27.55</v>
          </cell>
          <cell r="E97">
            <v>37.69</v>
          </cell>
          <cell r="F97">
            <v>46.8</v>
          </cell>
          <cell r="G97">
            <v>20.9</v>
          </cell>
        </row>
        <row r="98">
          <cell r="D98">
            <v>27.42</v>
          </cell>
          <cell r="E98">
            <v>37.549999999999997</v>
          </cell>
          <cell r="F98">
            <v>46.7</v>
          </cell>
          <cell r="G98">
            <v>20.98</v>
          </cell>
        </row>
        <row r="99">
          <cell r="D99">
            <v>27.34</v>
          </cell>
          <cell r="E99">
            <v>37.25</v>
          </cell>
          <cell r="F99">
            <v>46.45</v>
          </cell>
          <cell r="G99">
            <v>20.58</v>
          </cell>
        </row>
        <row r="100">
          <cell r="D100">
            <v>27.34</v>
          </cell>
          <cell r="E100">
            <v>37.25</v>
          </cell>
          <cell r="F100">
            <v>46.45</v>
          </cell>
          <cell r="G100">
            <v>20.58</v>
          </cell>
        </row>
        <row r="101">
          <cell r="D101">
            <v>27.78</v>
          </cell>
          <cell r="E101">
            <v>37.700000000000003</v>
          </cell>
          <cell r="F101">
            <v>47.13</v>
          </cell>
          <cell r="G101">
            <v>20.6</v>
          </cell>
        </row>
        <row r="102">
          <cell r="D102">
            <v>27.81</v>
          </cell>
          <cell r="E102">
            <v>37.619999999999997</v>
          </cell>
          <cell r="F102">
            <v>46.96</v>
          </cell>
          <cell r="G102">
            <v>20.71</v>
          </cell>
        </row>
        <row r="103">
          <cell r="D103">
            <v>27.81</v>
          </cell>
          <cell r="E103">
            <v>37.950000000000003</v>
          </cell>
          <cell r="F103">
            <v>46.9</v>
          </cell>
          <cell r="G103">
            <v>20.75</v>
          </cell>
        </row>
        <row r="104">
          <cell r="D104">
            <v>27.8</v>
          </cell>
          <cell r="E104">
            <v>37.85</v>
          </cell>
          <cell r="F104">
            <v>47</v>
          </cell>
          <cell r="G104">
            <v>20.84</v>
          </cell>
        </row>
        <row r="105">
          <cell r="D105">
            <v>27.64</v>
          </cell>
          <cell r="E105">
            <v>37.479999999999997</v>
          </cell>
          <cell r="F105">
            <v>46.33</v>
          </cell>
          <cell r="G105">
            <v>20.68</v>
          </cell>
        </row>
        <row r="106">
          <cell r="D106">
            <v>27.98</v>
          </cell>
          <cell r="E106">
            <v>37.6</v>
          </cell>
          <cell r="F106">
            <v>46.4</v>
          </cell>
          <cell r="G106">
            <v>20.68</v>
          </cell>
        </row>
        <row r="107">
          <cell r="D107">
            <v>28.1</v>
          </cell>
          <cell r="E107">
            <v>37.42</v>
          </cell>
          <cell r="F107">
            <v>45.99</v>
          </cell>
          <cell r="G107">
            <v>20.57</v>
          </cell>
        </row>
        <row r="108">
          <cell r="D108">
            <v>28.23</v>
          </cell>
          <cell r="E108">
            <v>37.6</v>
          </cell>
          <cell r="F108">
            <v>46.45</v>
          </cell>
          <cell r="G108">
            <v>20.72</v>
          </cell>
        </row>
        <row r="109">
          <cell r="D109">
            <v>28.21</v>
          </cell>
          <cell r="E109">
            <v>37.659999999999997</v>
          </cell>
          <cell r="F109">
            <v>47.09</v>
          </cell>
          <cell r="G109">
            <v>20.55</v>
          </cell>
        </row>
        <row r="110">
          <cell r="D110">
            <v>28.15</v>
          </cell>
          <cell r="E110">
            <v>37.950000000000003</v>
          </cell>
          <cell r="F110">
            <v>47.18</v>
          </cell>
          <cell r="G110">
            <v>20.399999999999999</v>
          </cell>
        </row>
        <row r="111">
          <cell r="D111">
            <v>28.42</v>
          </cell>
          <cell r="E111">
            <v>38.06</v>
          </cell>
          <cell r="F111">
            <v>47.32</v>
          </cell>
          <cell r="G111">
            <v>20.55</v>
          </cell>
        </row>
        <row r="112">
          <cell r="D112">
            <v>28.75</v>
          </cell>
          <cell r="E112">
            <v>38.479999999999997</v>
          </cell>
          <cell r="F112">
            <v>48.07</v>
          </cell>
          <cell r="G112">
            <v>20.61</v>
          </cell>
        </row>
      </sheetData>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1"/>
      <sheetName val="Sheet2"/>
      <sheetName val="Sheet3"/>
    </sheetNames>
    <definedNames>
      <definedName name="HoadleyOptions2"/>
      <definedName name="HoadleySABRBlackVol"/>
      <definedName name="HoadleySABRCalibrate"/>
      <definedName name="HoadleySABROption"/>
    </defined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HoadleyOptions"/>
    </sheetNames>
    <definedNames>
      <definedName name="HoadleyFuturesPrice"/>
      <definedName name="HoadleyOptions1"/>
      <definedName name="HoadleyOptions2"/>
      <definedName name="HoadleyOptionsNLN"/>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www.hoadley.net/options/options.ht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58708-B105-4EEE-9AF3-5C246E94B5FD}">
  <sheetPr codeName="Sheet1"/>
  <dimension ref="A1:H58"/>
  <sheetViews>
    <sheetView tabSelected="1" workbookViewId="0">
      <selection activeCell="M34" sqref="M34"/>
    </sheetView>
  </sheetViews>
  <sheetFormatPr defaultColWidth="8.90625" defaultRowHeight="14.5" x14ac:dyDescent="0.35"/>
  <cols>
    <col min="1" max="1" width="21.90625" style="177" customWidth="1"/>
    <col min="2" max="3" width="12.6328125" style="179" bestFit="1" customWidth="1"/>
    <col min="4" max="4" width="14" style="179" customWidth="1"/>
    <col min="5" max="6" width="8.90625" style="179"/>
    <col min="7" max="7" width="30.90625" style="179" customWidth="1"/>
    <col min="8" max="16384" width="8.90625" style="179"/>
  </cols>
  <sheetData>
    <row r="1" spans="1:8" x14ac:dyDescent="0.35">
      <c r="A1" s="177" t="s">
        <v>144</v>
      </c>
      <c r="B1" s="189">
        <f ca="1">TODAY()</f>
        <v>46220</v>
      </c>
      <c r="G1" s="177" t="s">
        <v>126</v>
      </c>
      <c r="H1" s="180">
        <f ca="1">DATE(INT(B2/10000),INT(MOD(B2,10000)/100),MOD(B2,100))-DATE(INT(B1/10000),INT(MOD(B1,10000)/100),MOD(B1,100))</f>
        <v>30</v>
      </c>
    </row>
    <row r="2" spans="1:8" x14ac:dyDescent="0.35">
      <c r="A2" s="177" t="s">
        <v>145</v>
      </c>
      <c r="B2" s="189">
        <f ca="1">B1+30</f>
        <v>46250</v>
      </c>
      <c r="D2" s="181"/>
      <c r="G2" s="177" t="s">
        <v>127</v>
      </c>
      <c r="H2" s="179">
        <f ca="1">H1/365</f>
        <v>8.2191780821917804E-2</v>
      </c>
    </row>
    <row r="3" spans="1:8" x14ac:dyDescent="0.35">
      <c r="A3" s="177" t="s">
        <v>146</v>
      </c>
      <c r="B3" s="182">
        <f>'14 SABRCalibrate'!E7</f>
        <v>4.6399999999999997</v>
      </c>
      <c r="C3" s="179" t="s">
        <v>5</v>
      </c>
      <c r="G3" s="177" t="s">
        <v>128</v>
      </c>
      <c r="H3" s="179">
        <f ca="1">B7*SQRT(H2)</f>
        <v>0.44723809968317679</v>
      </c>
    </row>
    <row r="4" spans="1:8" x14ac:dyDescent="0.35">
      <c r="A4" s="177" t="s">
        <v>147</v>
      </c>
      <c r="B4" s="182">
        <v>4</v>
      </c>
      <c r="G4" s="183" t="s">
        <v>129</v>
      </c>
      <c r="H4" s="179">
        <f>LN(B3/B4)</f>
        <v>0.14842000511827322</v>
      </c>
    </row>
    <row r="5" spans="1:8" x14ac:dyDescent="0.35">
      <c r="A5" s="177" t="s">
        <v>148</v>
      </c>
      <c r="B5" s="184">
        <f>'14 SABRCalibrate'!E10</f>
        <v>0.04</v>
      </c>
      <c r="G5" s="177" t="s">
        <v>130</v>
      </c>
      <c r="H5" s="179">
        <f ca="1">EXP(H2*(B5-B6))</f>
        <v>1.0032930815514358</v>
      </c>
    </row>
    <row r="6" spans="1:8" x14ac:dyDescent="0.35">
      <c r="A6" s="177" t="s">
        <v>149</v>
      </c>
      <c r="B6" s="185">
        <f>'14 SABRCalibrate'!E14</f>
        <v>0</v>
      </c>
      <c r="G6" s="177" t="s">
        <v>131</v>
      </c>
      <c r="H6" s="179">
        <f ca="1">(H4+(((B5-B6)+(B7^2)/2)*H2))/H3</f>
        <v>0.5628291405262138</v>
      </c>
    </row>
    <row r="7" spans="1:8" x14ac:dyDescent="0.35">
      <c r="A7" s="177" t="s">
        <v>150</v>
      </c>
      <c r="B7" s="184">
        <f>'14 SABRCalibrate'!E9</f>
        <v>1.56</v>
      </c>
      <c r="G7" s="177" t="s">
        <v>132</v>
      </c>
      <c r="H7" s="179">
        <f ca="1">H6-H3</f>
        <v>0.11559104084303701</v>
      </c>
    </row>
    <row r="8" spans="1:8" x14ac:dyDescent="0.35">
      <c r="A8" s="177" t="s">
        <v>12</v>
      </c>
      <c r="B8" s="185">
        <f>'14 SABRCalibrate'!E11</f>
        <v>1.27</v>
      </c>
      <c r="C8" s="178"/>
      <c r="G8" s="177" t="s">
        <v>133</v>
      </c>
      <c r="H8" s="179">
        <f ca="1">_xlfn.NORM.DIST(H6,0,1,TRUE)</f>
        <v>0.71322438240277386</v>
      </c>
    </row>
    <row r="9" spans="1:8" x14ac:dyDescent="0.35">
      <c r="A9" s="177" t="s">
        <v>18</v>
      </c>
      <c r="B9" s="27">
        <f ca="1">'14 SABRCalibrate'!B21</f>
        <v>2.6411800000000185</v>
      </c>
      <c r="G9" s="177" t="s">
        <v>134</v>
      </c>
      <c r="H9" s="179">
        <f ca="1">_xlfn.NORM.DIST(H7,0,1,TRUE)</f>
        <v>0.5460116681600411</v>
      </c>
    </row>
    <row r="10" spans="1:8" x14ac:dyDescent="0.35">
      <c r="A10" s="177" t="s">
        <v>157</v>
      </c>
      <c r="B10" s="28">
        <f ca="1">'14 SABRCalibrate'!C21</f>
        <v>-8.0870000000000095E-2</v>
      </c>
      <c r="G10" s="177" t="s">
        <v>135</v>
      </c>
      <c r="H10" s="179">
        <f ca="1">_xlfn.NORM.DIST(H6,0,1,FALSE)</f>
        <v>0.34050452850140495</v>
      </c>
    </row>
    <row r="11" spans="1:8" x14ac:dyDescent="0.35">
      <c r="B11" s="186"/>
      <c r="C11" s="179" t="str">
        <f>IF(C8="","",(SQRT(2*PI()/H2)*(1/(B3+B4)))*((C8+B3-(B4*(1/H5)))-((B3-B4)/2)+SQRT(ABS((((C8+B3-(B4*(1/H5)))-(B3-B4)/2)^2)-(((B3-B4)^2)/PI())))))</f>
        <v/>
      </c>
      <c r="G11" s="177" t="s">
        <v>136</v>
      </c>
      <c r="H11" s="179">
        <f ca="1">_xlfn.NORM.DIST(H7,0,1,FALSE)</f>
        <v>0.3962859717115762</v>
      </c>
    </row>
    <row r="12" spans="1:8" x14ac:dyDescent="0.35">
      <c r="A12" s="177" t="s">
        <v>151</v>
      </c>
      <c r="B12" s="186">
        <f ca="1">B3*H5</f>
        <v>4.6552798983986623</v>
      </c>
    </row>
    <row r="13" spans="1:8" x14ac:dyDescent="0.35">
      <c r="A13" s="177" t="s">
        <v>152</v>
      </c>
      <c r="B13" s="186">
        <f ca="1">B4*(1/H5)</f>
        <v>3.986870908961742</v>
      </c>
    </row>
    <row r="14" spans="1:8" x14ac:dyDescent="0.35">
      <c r="A14" s="177" t="s">
        <v>178</v>
      </c>
      <c r="B14" s="177" t="s">
        <v>153</v>
      </c>
      <c r="C14" s="177" t="s">
        <v>154</v>
      </c>
      <c r="D14" s="187"/>
      <c r="E14" s="177"/>
      <c r="F14" s="177"/>
      <c r="G14" s="177"/>
    </row>
    <row r="15" spans="1:8" x14ac:dyDescent="0.35">
      <c r="A15" s="177" t="s">
        <v>155</v>
      </c>
      <c r="B15" s="188">
        <f ca="1">(B3*H8)-((B4*(1/H5))*H9)</f>
        <v>1.1324830986079304</v>
      </c>
      <c r="C15" s="188">
        <f ca="1">B15-B3+(B4*(1/H5))</f>
        <v>0.47935400756967272</v>
      </c>
      <c r="G15" s="177"/>
    </row>
    <row r="16" spans="1:8" x14ac:dyDescent="0.35">
      <c r="A16" s="177" t="s">
        <v>34</v>
      </c>
      <c r="B16" s="186">
        <f ca="1">H8</f>
        <v>0.71322438240277386</v>
      </c>
      <c r="C16" s="186">
        <f ca="1">B16-1</f>
        <v>-0.28677561759722614</v>
      </c>
      <c r="G16" s="177"/>
    </row>
    <row r="17" spans="1:7" x14ac:dyDescent="0.35">
      <c r="A17" s="177" t="s">
        <v>51</v>
      </c>
      <c r="B17" s="186">
        <f ca="1">H10/(B3*H3)</f>
        <v>0.16408395597729969</v>
      </c>
      <c r="C17" s="186">
        <f ca="1">B17</f>
        <v>0.16408395597729969</v>
      </c>
      <c r="G17" s="177"/>
    </row>
    <row r="18" spans="1:7" x14ac:dyDescent="0.35">
      <c r="A18" s="177" t="s">
        <v>55</v>
      </c>
      <c r="B18" s="186">
        <f ca="1">(B3*H10*SQRT(H2))/100</f>
        <v>4.5295501021067166E-3</v>
      </c>
      <c r="C18" s="186">
        <f ca="1">B18</f>
        <v>4.5295501021067166E-3</v>
      </c>
      <c r="G18" s="177"/>
    </row>
    <row r="19" spans="1:7" x14ac:dyDescent="0.35">
      <c r="A19" s="177" t="s">
        <v>59</v>
      </c>
      <c r="B19" s="186">
        <f ca="1">(-((B3*H10*B7)/(2*SQRT(H2)))-((B5-B6)*B4*(1/H5)*H9))/365</f>
        <v>-1.2015392241997021E-2</v>
      </c>
      <c r="C19" s="186">
        <f ca="1">(-((B3*H10*B7)/(2*SQRT(H2)))+((B5-B6)*B4*(1/H5)*_xlfn.NORM.DIST(-H7,0,1,TRUE)))/365</f>
        <v>-1.1578474882110801E-2</v>
      </c>
      <c r="E19" s="186"/>
      <c r="G19" s="177"/>
    </row>
    <row r="20" spans="1:7" x14ac:dyDescent="0.35">
      <c r="A20" s="177" t="s">
        <v>156</v>
      </c>
      <c r="B20" s="186">
        <f ca="1">(B4*(1/H5)*H2*H9)/100</f>
        <v>1.7892148238966633E-3</v>
      </c>
      <c r="C20" s="186">
        <f ca="1">((-B4)*(1/H5)*H2*_xlfn.NORM.DIST(-H7,0,1,TRUE))/100</f>
        <v>-1.4876653752499741E-3</v>
      </c>
      <c r="E20" s="186"/>
    </row>
    <row r="21" spans="1:7" x14ac:dyDescent="0.35">
      <c r="A21" s="177" t="s">
        <v>137</v>
      </c>
      <c r="B21" s="186">
        <f ca="1">(B18/B3)*(1-H6/H3)</f>
        <v>-2.5230303116182659E-4</v>
      </c>
      <c r="C21" s="186">
        <f ca="1">B21</f>
        <v>-2.5230303116182659E-4</v>
      </c>
      <c r="E21" s="186"/>
    </row>
    <row r="22" spans="1:7" x14ac:dyDescent="0.35">
      <c r="A22" s="177" t="s">
        <v>138</v>
      </c>
      <c r="B22" s="186">
        <f ca="1">B18*((H8*H9)/B7)</f>
        <v>1.1307291144029305E-3</v>
      </c>
      <c r="C22" s="186">
        <f ca="1">B22</f>
        <v>1.1307291144029305E-3</v>
      </c>
    </row>
    <row r="23" spans="1:7" x14ac:dyDescent="0.35">
      <c r="A23" s="177" t="s">
        <v>139</v>
      </c>
      <c r="B23" s="186">
        <f ca="1">(-EXP(-B6*H2)*H10/((B3^2)*H3))*((2*B6*H2)+1+(H6*((2*(B5-B6)*H2-H7*H3)/H3)))</f>
        <v>-3.3354900574249544E-2</v>
      </c>
      <c r="C23" s="186">
        <f ca="1">B23</f>
        <v>-3.3354900574249544E-2</v>
      </c>
    </row>
    <row r="24" spans="1:7" x14ac:dyDescent="0.35">
      <c r="A24" s="177" t="s">
        <v>140</v>
      </c>
      <c r="B24" s="186">
        <f ca="1">(-B17/B3)*(1+H6/H3)</f>
        <v>-7.9865576295608295E-2</v>
      </c>
      <c r="C24" s="186">
        <f ca="1">B24</f>
        <v>-7.9865576295608295E-2</v>
      </c>
    </row>
    <row r="25" spans="1:7" x14ac:dyDescent="0.35">
      <c r="A25" s="177" t="s">
        <v>141</v>
      </c>
      <c r="B25" s="186">
        <f ca="1">(B6*EXP(-B6*H2)*H8)-(EXP(-B6*H2)*H10)*((2*(B5-B6)*H2-H7*H3)/(2*H2*H3))</f>
        <v>0.20898159434318669</v>
      </c>
      <c r="C25" s="186">
        <f ca="1">(-B6*EXP(-B6*H2)*_xlfn.NORM.DIST(-H6,0,1,TRUE))-(EXP(-B6*H2)*H10)*((2*(B5-B6)*H2-H7*H3)/(2*H2*H3))</f>
        <v>0.20898159434318669</v>
      </c>
    </row>
    <row r="26" spans="1:7" x14ac:dyDescent="0.35">
      <c r="A26" s="177" t="s">
        <v>142</v>
      </c>
      <c r="B26" s="186">
        <f ca="1">B17*((H6*H7-1)/B7)</f>
        <v>-9.8339090356983919E-2</v>
      </c>
      <c r="C26" s="186">
        <f ca="1">B26</f>
        <v>-9.8339090356983919E-2</v>
      </c>
    </row>
    <row r="27" spans="1:7" x14ac:dyDescent="0.35">
      <c r="A27" s="177" t="s">
        <v>143</v>
      </c>
      <c r="B27" s="186">
        <f ca="1">-EXP(-B5*H2)*H9</f>
        <v>-0.54421950893523496</v>
      </c>
      <c r="C27" s="186">
        <f ca="1">EXP(-B5*H2)*_xlfn.NORM.DIST(-H7,0,1,TRUE)</f>
        <v>0.45249821830520037</v>
      </c>
    </row>
    <row r="29" spans="1:7" x14ac:dyDescent="0.35">
      <c r="A29" s="177" t="s">
        <v>177</v>
      </c>
      <c r="B29" s="177" t="s">
        <v>38</v>
      </c>
      <c r="C29" s="177" t="s">
        <v>45</v>
      </c>
    </row>
    <row r="30" spans="1:7" x14ac:dyDescent="0.35">
      <c r="A30" s="177" t="s">
        <v>45</v>
      </c>
      <c r="B30" s="191" cm="1">
        <f t="array" aca="1" ref="B30" ca="1">[2]!HoadleySABROption(A30,$B$29,$B$3,$B$4,$B$3,$H$1,$B$7,$B$5,$B$8,$B$9,$B$10,$B$6)</f>
        <v>1.1228948238508336</v>
      </c>
      <c r="C30" s="179" cm="1">
        <f t="array" aca="1" ref="C30" ca="1">[2]!HoadleySABROption(A30,$C$29,$B$3,$B$4,$B$3,$H$1,$B$7,$B$5,$B$8,$B$9,$B$10,$B$6)</f>
        <v>0.48499547841695556</v>
      </c>
    </row>
    <row r="31" spans="1:7" x14ac:dyDescent="0.35">
      <c r="A31" s="177" t="s">
        <v>48</v>
      </c>
      <c r="B31" s="179" cm="1">
        <f t="array" aca="1" ref="B31" ca="1">[2]!HoadleySABROption(A31,$B$29,$B$3,$B$4,$B$3,$H$1,$B$7,$B$5,$B$8,$B$9,$B$10,$B$6)</f>
        <v>0.72105757262319603</v>
      </c>
      <c r="C31" s="179" cm="1">
        <f t="array" aca="1" ref="C31" ca="1">[2]!HoadleySABROption(A31,$C$29,$B$3,$B$4,$B$3,$H$1,$B$7,$B$5,$B$8,$B$9,$B$10,$B$6)</f>
        <v>-0.27566015461723548</v>
      </c>
    </row>
    <row r="32" spans="1:7" x14ac:dyDescent="0.35">
      <c r="A32" s="177" t="s">
        <v>52</v>
      </c>
      <c r="B32" s="179" cm="1">
        <f t="array" aca="1" ref="B32" ca="1">[2]!HoadleySABROption(A32,$B$29,$B$3,$B$4,$B$3,$H$1,$B$7,$B$5,$B$8,$B$9,$B$10,$B$6)</f>
        <v>0.18966730519487393</v>
      </c>
      <c r="C32" s="179" cm="1">
        <f t="array" aca="1" ref="C32" ca="1">[2]!HoadleySABROption(A32,$C$29,$B$3,$B$4,$B$3,$H$1,$B$7,$B$5,$B$8,$B$9,$B$10,$B$6)</f>
        <v>0.18966730519487393</v>
      </c>
    </row>
    <row r="33" spans="1:3" x14ac:dyDescent="0.35">
      <c r="A33" s="177" t="s">
        <v>56</v>
      </c>
      <c r="B33" s="179" cm="1">
        <f t="array" aca="1" ref="B33" ca="1">[2]!HoadleySABROption(A33,$B$29,$B$3,$B$4,$B$3,$H$1,$B$7,$B$5,$B$8,$B$9,$B$10,$B$6)</f>
        <v>4.3969768257150488E-3</v>
      </c>
      <c r="C33" s="179" cm="1">
        <f t="array" aca="1" ref="C33" ca="1">[2]!HoadleySABROption(A33,$C$29,$B$3,$B$4,$B$3,$H$1,$B$7,$B$5,$B$8,$B$9,$B$10,$B$6)</f>
        <v>4.396976825715021E-3</v>
      </c>
    </row>
    <row r="34" spans="1:3" x14ac:dyDescent="0.35">
      <c r="A34" s="177" t="s">
        <v>60</v>
      </c>
      <c r="B34" s="179" cm="1">
        <f t="array" aca="1" ref="B34" ca="1">[2]!HoadleySABROption(A34,$B$29,$B$3,$B$4,$B$3,$H$1,$B$7,$B$5,$B$8,$B$9,$B$10,$B$6)</f>
        <v>-1.1812027047326978E-2</v>
      </c>
      <c r="C34" s="179" cm="1">
        <f t="array" aca="1" ref="C34" ca="1">[2]!HoadleySABROption(A34,$C$29,$B$3,$B$4,$B$3,$H$1,$B$7,$B$5,$B$8,$B$9,$B$10,$B$6)</f>
        <v>-1.1881937655557395E-2</v>
      </c>
    </row>
    <row r="35" spans="1:3" x14ac:dyDescent="0.35">
      <c r="A35" s="177" t="s">
        <v>158</v>
      </c>
      <c r="B35" s="186">
        <f ca="1">(B33/B3)*(1-H6/H3)</f>
        <v>-2.4491849213904035E-4</v>
      </c>
      <c r="C35" s="186">
        <f ca="1">B35</f>
        <v>-2.4491849213904035E-4</v>
      </c>
    </row>
    <row r="36" spans="1:3" x14ac:dyDescent="0.35">
      <c r="A36" s="177" t="s">
        <v>159</v>
      </c>
      <c r="B36" s="186">
        <f ca="1">B33*((H8*H9)/B7)</f>
        <v>1.0976343345619648E-3</v>
      </c>
      <c r="C36" s="186">
        <f ca="1">B36</f>
        <v>1.0976343345619648E-3</v>
      </c>
    </row>
    <row r="37" spans="1:3" x14ac:dyDescent="0.35">
      <c r="A37" s="177" t="s">
        <v>160</v>
      </c>
      <c r="B37" s="186">
        <f ca="1">(-EXP(-B6*H2)*H10/((B3^2)*H3))*((2*B6*H2)+1+(H6*((2*(B5-B6)*H2-H7*H3)/H3)))</f>
        <v>-3.3354900574249544E-2</v>
      </c>
      <c r="C37" s="186">
        <f ca="1">B37</f>
        <v>-3.3354900574249544E-2</v>
      </c>
    </row>
    <row r="38" spans="1:3" x14ac:dyDescent="0.35">
      <c r="A38" s="177" t="s">
        <v>161</v>
      </c>
      <c r="B38" s="186">
        <f ca="1">(-B32/B3)*(1+H6/H3)</f>
        <v>-9.2317914591962133E-2</v>
      </c>
      <c r="C38" s="186">
        <f ca="1">B38</f>
        <v>-9.2317914591962133E-2</v>
      </c>
    </row>
    <row r="39" spans="1:3" x14ac:dyDescent="0.35">
      <c r="A39" s="177" t="s">
        <v>162</v>
      </c>
      <c r="B39" s="186">
        <f ca="1">(B6*EXP(-B6*H2)*H8)-(EXP(-B6*H2)*H10)*((2*(B5-B6)*H2-H7*H3)/(2*H2*H3))</f>
        <v>0.20898159434318669</v>
      </c>
      <c r="C39" s="186">
        <f ca="1">(-B6*EXP(-B6*H2)*_xlfn.NORM.DIST(-H6,0,1,TRUE))-(EXP(-B6*H2)*H10)*((2*(B5-B6)*H2-H7*H3)/(2*H2*H3))</f>
        <v>0.20898159434318669</v>
      </c>
    </row>
    <row r="40" spans="1:3" x14ac:dyDescent="0.35">
      <c r="A40" s="177" t="s">
        <v>163</v>
      </c>
      <c r="B40" s="186">
        <f ca="1">B32*((H6*H7-1)/B7)</f>
        <v>-0.11367174902770347</v>
      </c>
      <c r="C40" s="186">
        <f ca="1">B40</f>
        <v>-0.11367174902770347</v>
      </c>
    </row>
    <row r="41" spans="1:3" x14ac:dyDescent="0.35">
      <c r="A41" s="177" t="s">
        <v>164</v>
      </c>
      <c r="B41" s="186">
        <f ca="1">-EXP(-B5*H2)*H9</f>
        <v>-0.54421950893523496</v>
      </c>
      <c r="C41" s="186">
        <f ca="1">EXP(-B5*H2)*_xlfn.NORM.DIST(-H7,0,1,TRUE)</f>
        <v>0.45249821830520037</v>
      </c>
    </row>
    <row r="47" spans="1:3" x14ac:dyDescent="0.35">
      <c r="A47" s="177" t="s">
        <v>165</v>
      </c>
      <c r="B47" s="186">
        <f ca="1">B30-B15</f>
        <v>-9.5882747570967819E-3</v>
      </c>
      <c r="C47" s="186">
        <f ca="1">C30-C15</f>
        <v>5.6414708472828368E-3</v>
      </c>
    </row>
    <row r="48" spans="1:3" x14ac:dyDescent="0.35">
      <c r="A48" s="177" t="s">
        <v>166</v>
      </c>
      <c r="B48" s="186">
        <f t="shared" ref="B48:C51" ca="1" si="0">B31-B16</f>
        <v>7.8331902204221704E-3</v>
      </c>
      <c r="C48" s="186">
        <f t="shared" ca="1" si="0"/>
        <v>1.1115462979990665E-2</v>
      </c>
    </row>
    <row r="49" spans="1:3" x14ac:dyDescent="0.35">
      <c r="A49" s="177" t="s">
        <v>176</v>
      </c>
      <c r="B49" s="186">
        <f t="shared" ca="1" si="0"/>
        <v>2.5583349217574242E-2</v>
      </c>
      <c r="C49" s="186">
        <f t="shared" ca="1" si="0"/>
        <v>2.5583349217574242E-2</v>
      </c>
    </row>
    <row r="50" spans="1:3" x14ac:dyDescent="0.35">
      <c r="A50" s="177" t="s">
        <v>167</v>
      </c>
      <c r="B50" s="186">
        <f t="shared" ca="1" si="0"/>
        <v>-1.3257327639166778E-4</v>
      </c>
      <c r="C50" s="186">
        <f t="shared" ca="1" si="0"/>
        <v>-1.3257327639169553E-4</v>
      </c>
    </row>
    <row r="51" spans="1:3" x14ac:dyDescent="0.35">
      <c r="A51" s="177" t="s">
        <v>168</v>
      </c>
      <c r="B51" s="186">
        <f t="shared" ca="1" si="0"/>
        <v>2.0336519467004273E-4</v>
      </c>
      <c r="C51" s="186">
        <f t="shared" ca="1" si="0"/>
        <v>-3.034627734465941E-4</v>
      </c>
    </row>
    <row r="52" spans="1:3" x14ac:dyDescent="0.35">
      <c r="A52" s="177" t="s">
        <v>169</v>
      </c>
      <c r="B52" s="186">
        <f t="shared" ref="B52:C58" ca="1" si="1">B35-B21</f>
        <v>7.3845390227862402E-6</v>
      </c>
      <c r="C52" s="186">
        <f t="shared" ca="1" si="1"/>
        <v>7.3845390227862402E-6</v>
      </c>
    </row>
    <row r="53" spans="1:3" x14ac:dyDescent="0.35">
      <c r="A53" s="177" t="s">
        <v>175</v>
      </c>
      <c r="B53" s="186">
        <f t="shared" ca="1" si="1"/>
        <v>-3.309477984096568E-5</v>
      </c>
      <c r="C53" s="186">
        <f t="shared" ca="1" si="1"/>
        <v>-3.309477984096568E-5</v>
      </c>
    </row>
    <row r="54" spans="1:3" x14ac:dyDescent="0.35">
      <c r="A54" s="177" t="s">
        <v>170</v>
      </c>
      <c r="B54" s="186">
        <f t="shared" ca="1" si="1"/>
        <v>0</v>
      </c>
      <c r="C54" s="186">
        <f t="shared" ca="1" si="1"/>
        <v>0</v>
      </c>
    </row>
    <row r="55" spans="1:3" x14ac:dyDescent="0.35">
      <c r="A55" s="177" t="s">
        <v>171</v>
      </c>
      <c r="B55" s="186">
        <f t="shared" ca="1" si="1"/>
        <v>-1.2452338296353838E-2</v>
      </c>
      <c r="C55" s="186">
        <f t="shared" ca="1" si="1"/>
        <v>-1.2452338296353838E-2</v>
      </c>
    </row>
    <row r="56" spans="1:3" x14ac:dyDescent="0.35">
      <c r="A56" s="177" t="s">
        <v>172</v>
      </c>
      <c r="B56" s="186">
        <f t="shared" ca="1" si="1"/>
        <v>0</v>
      </c>
      <c r="C56" s="186">
        <f t="shared" ca="1" si="1"/>
        <v>0</v>
      </c>
    </row>
    <row r="57" spans="1:3" x14ac:dyDescent="0.35">
      <c r="A57" s="177" t="s">
        <v>173</v>
      </c>
      <c r="B57" s="186">
        <f t="shared" ca="1" si="1"/>
        <v>-1.5332658670719548E-2</v>
      </c>
      <c r="C57" s="186">
        <f t="shared" ca="1" si="1"/>
        <v>-1.5332658670719548E-2</v>
      </c>
    </row>
    <row r="58" spans="1:3" x14ac:dyDescent="0.35">
      <c r="A58" s="177" t="s">
        <v>174</v>
      </c>
      <c r="B58" s="186">
        <f t="shared" ca="1" si="1"/>
        <v>0</v>
      </c>
      <c r="C58" s="186">
        <f t="shared" ca="1" si="1"/>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22F75-BEA8-40E0-9B05-135E6CA494D5}">
  <sheetPr codeName="Sheet12"/>
  <dimension ref="A1:Y113"/>
  <sheetViews>
    <sheetView showGridLines="0" zoomScale="85" workbookViewId="0">
      <selection activeCell="E32" sqref="E32"/>
    </sheetView>
  </sheetViews>
  <sheetFormatPr defaultColWidth="9.08984375" defaultRowHeight="12.5" x14ac:dyDescent="0.25"/>
  <cols>
    <col min="1" max="1" width="1.453125" style="97" customWidth="1"/>
    <col min="2" max="2" width="25.6328125" style="97" customWidth="1"/>
    <col min="3" max="5" width="9.36328125" style="97" customWidth="1"/>
    <col min="6" max="24" width="7.453125" style="97" customWidth="1"/>
    <col min="25" max="256" width="9.08984375" style="97"/>
    <col min="257" max="257" width="1.453125" style="97" customWidth="1"/>
    <col min="258" max="258" width="25.6328125" style="97" customWidth="1"/>
    <col min="259" max="261" width="9.36328125" style="97" customWidth="1"/>
    <col min="262" max="280" width="7.453125" style="97" customWidth="1"/>
    <col min="281" max="512" width="9.08984375" style="97"/>
    <col min="513" max="513" width="1.453125" style="97" customWidth="1"/>
    <col min="514" max="514" width="25.6328125" style="97" customWidth="1"/>
    <col min="515" max="517" width="9.36328125" style="97" customWidth="1"/>
    <col min="518" max="536" width="7.453125" style="97" customWidth="1"/>
    <col min="537" max="768" width="9.08984375" style="97"/>
    <col min="769" max="769" width="1.453125" style="97" customWidth="1"/>
    <col min="770" max="770" width="25.6328125" style="97" customWidth="1"/>
    <col min="771" max="773" width="9.36328125" style="97" customWidth="1"/>
    <col min="774" max="792" width="7.453125" style="97" customWidth="1"/>
    <col min="793" max="1024" width="9.08984375" style="97"/>
    <col min="1025" max="1025" width="1.453125" style="97" customWidth="1"/>
    <col min="1026" max="1026" width="25.6328125" style="97" customWidth="1"/>
    <col min="1027" max="1029" width="9.36328125" style="97" customWidth="1"/>
    <col min="1030" max="1048" width="7.453125" style="97" customWidth="1"/>
    <col min="1049" max="1280" width="9.08984375" style="97"/>
    <col min="1281" max="1281" width="1.453125" style="97" customWidth="1"/>
    <col min="1282" max="1282" width="25.6328125" style="97" customWidth="1"/>
    <col min="1283" max="1285" width="9.36328125" style="97" customWidth="1"/>
    <col min="1286" max="1304" width="7.453125" style="97" customWidth="1"/>
    <col min="1305" max="1536" width="9.08984375" style="97"/>
    <col min="1537" max="1537" width="1.453125" style="97" customWidth="1"/>
    <col min="1538" max="1538" width="25.6328125" style="97" customWidth="1"/>
    <col min="1539" max="1541" width="9.36328125" style="97" customWidth="1"/>
    <col min="1542" max="1560" width="7.453125" style="97" customWidth="1"/>
    <col min="1561" max="1792" width="9.08984375" style="97"/>
    <col min="1793" max="1793" width="1.453125" style="97" customWidth="1"/>
    <col min="1794" max="1794" width="25.6328125" style="97" customWidth="1"/>
    <col min="1795" max="1797" width="9.36328125" style="97" customWidth="1"/>
    <col min="1798" max="1816" width="7.453125" style="97" customWidth="1"/>
    <col min="1817" max="2048" width="9.08984375" style="97"/>
    <col min="2049" max="2049" width="1.453125" style="97" customWidth="1"/>
    <col min="2050" max="2050" width="25.6328125" style="97" customWidth="1"/>
    <col min="2051" max="2053" width="9.36328125" style="97" customWidth="1"/>
    <col min="2054" max="2072" width="7.453125" style="97" customWidth="1"/>
    <col min="2073" max="2304" width="9.08984375" style="97"/>
    <col min="2305" max="2305" width="1.453125" style="97" customWidth="1"/>
    <col min="2306" max="2306" width="25.6328125" style="97" customWidth="1"/>
    <col min="2307" max="2309" width="9.36328125" style="97" customWidth="1"/>
    <col min="2310" max="2328" width="7.453125" style="97" customWidth="1"/>
    <col min="2329" max="2560" width="9.08984375" style="97"/>
    <col min="2561" max="2561" width="1.453125" style="97" customWidth="1"/>
    <col min="2562" max="2562" width="25.6328125" style="97" customWidth="1"/>
    <col min="2563" max="2565" width="9.36328125" style="97" customWidth="1"/>
    <col min="2566" max="2584" width="7.453125" style="97" customWidth="1"/>
    <col min="2585" max="2816" width="9.08984375" style="97"/>
    <col min="2817" max="2817" width="1.453125" style="97" customWidth="1"/>
    <col min="2818" max="2818" width="25.6328125" style="97" customWidth="1"/>
    <col min="2819" max="2821" width="9.36328125" style="97" customWidth="1"/>
    <col min="2822" max="2840" width="7.453125" style="97" customWidth="1"/>
    <col min="2841" max="3072" width="9.08984375" style="97"/>
    <col min="3073" max="3073" width="1.453125" style="97" customWidth="1"/>
    <col min="3074" max="3074" width="25.6328125" style="97" customWidth="1"/>
    <col min="3075" max="3077" width="9.36328125" style="97" customWidth="1"/>
    <col min="3078" max="3096" width="7.453125" style="97" customWidth="1"/>
    <col min="3097" max="3328" width="9.08984375" style="97"/>
    <col min="3329" max="3329" width="1.453125" style="97" customWidth="1"/>
    <col min="3330" max="3330" width="25.6328125" style="97" customWidth="1"/>
    <col min="3331" max="3333" width="9.36328125" style="97" customWidth="1"/>
    <col min="3334" max="3352" width="7.453125" style="97" customWidth="1"/>
    <col min="3353" max="3584" width="9.08984375" style="97"/>
    <col min="3585" max="3585" width="1.453125" style="97" customWidth="1"/>
    <col min="3586" max="3586" width="25.6328125" style="97" customWidth="1"/>
    <col min="3587" max="3589" width="9.36328125" style="97" customWidth="1"/>
    <col min="3590" max="3608" width="7.453125" style="97" customWidth="1"/>
    <col min="3609" max="3840" width="9.08984375" style="97"/>
    <col min="3841" max="3841" width="1.453125" style="97" customWidth="1"/>
    <col min="3842" max="3842" width="25.6328125" style="97" customWidth="1"/>
    <col min="3843" max="3845" width="9.36328125" style="97" customWidth="1"/>
    <col min="3846" max="3864" width="7.453125" style="97" customWidth="1"/>
    <col min="3865" max="4096" width="9.08984375" style="97"/>
    <col min="4097" max="4097" width="1.453125" style="97" customWidth="1"/>
    <col min="4098" max="4098" width="25.6328125" style="97" customWidth="1"/>
    <col min="4099" max="4101" width="9.36328125" style="97" customWidth="1"/>
    <col min="4102" max="4120" width="7.453125" style="97" customWidth="1"/>
    <col min="4121" max="4352" width="9.08984375" style="97"/>
    <col min="4353" max="4353" width="1.453125" style="97" customWidth="1"/>
    <col min="4354" max="4354" width="25.6328125" style="97" customWidth="1"/>
    <col min="4355" max="4357" width="9.36328125" style="97" customWidth="1"/>
    <col min="4358" max="4376" width="7.453125" style="97" customWidth="1"/>
    <col min="4377" max="4608" width="9.08984375" style="97"/>
    <col min="4609" max="4609" width="1.453125" style="97" customWidth="1"/>
    <col min="4610" max="4610" width="25.6328125" style="97" customWidth="1"/>
    <col min="4611" max="4613" width="9.36328125" style="97" customWidth="1"/>
    <col min="4614" max="4632" width="7.453125" style="97" customWidth="1"/>
    <col min="4633" max="4864" width="9.08984375" style="97"/>
    <col min="4865" max="4865" width="1.453125" style="97" customWidth="1"/>
    <col min="4866" max="4866" width="25.6328125" style="97" customWidth="1"/>
    <col min="4867" max="4869" width="9.36328125" style="97" customWidth="1"/>
    <col min="4870" max="4888" width="7.453125" style="97" customWidth="1"/>
    <col min="4889" max="5120" width="9.08984375" style="97"/>
    <col min="5121" max="5121" width="1.453125" style="97" customWidth="1"/>
    <col min="5122" max="5122" width="25.6328125" style="97" customWidth="1"/>
    <col min="5123" max="5125" width="9.36328125" style="97" customWidth="1"/>
    <col min="5126" max="5144" width="7.453125" style="97" customWidth="1"/>
    <col min="5145" max="5376" width="9.08984375" style="97"/>
    <col min="5377" max="5377" width="1.453125" style="97" customWidth="1"/>
    <col min="5378" max="5378" width="25.6328125" style="97" customWidth="1"/>
    <col min="5379" max="5381" width="9.36328125" style="97" customWidth="1"/>
    <col min="5382" max="5400" width="7.453125" style="97" customWidth="1"/>
    <col min="5401" max="5632" width="9.08984375" style="97"/>
    <col min="5633" max="5633" width="1.453125" style="97" customWidth="1"/>
    <col min="5634" max="5634" width="25.6328125" style="97" customWidth="1"/>
    <col min="5635" max="5637" width="9.36328125" style="97" customWidth="1"/>
    <col min="5638" max="5656" width="7.453125" style="97" customWidth="1"/>
    <col min="5657" max="5888" width="9.08984375" style="97"/>
    <col min="5889" max="5889" width="1.453125" style="97" customWidth="1"/>
    <col min="5890" max="5890" width="25.6328125" style="97" customWidth="1"/>
    <col min="5891" max="5893" width="9.36328125" style="97" customWidth="1"/>
    <col min="5894" max="5912" width="7.453125" style="97" customWidth="1"/>
    <col min="5913" max="6144" width="9.08984375" style="97"/>
    <col min="6145" max="6145" width="1.453125" style="97" customWidth="1"/>
    <col min="6146" max="6146" width="25.6328125" style="97" customWidth="1"/>
    <col min="6147" max="6149" width="9.36328125" style="97" customWidth="1"/>
    <col min="6150" max="6168" width="7.453125" style="97" customWidth="1"/>
    <col min="6169" max="6400" width="9.08984375" style="97"/>
    <col min="6401" max="6401" width="1.453125" style="97" customWidth="1"/>
    <col min="6402" max="6402" width="25.6328125" style="97" customWidth="1"/>
    <col min="6403" max="6405" width="9.36328125" style="97" customWidth="1"/>
    <col min="6406" max="6424" width="7.453125" style="97" customWidth="1"/>
    <col min="6425" max="6656" width="9.08984375" style="97"/>
    <col min="6657" max="6657" width="1.453125" style="97" customWidth="1"/>
    <col min="6658" max="6658" width="25.6328125" style="97" customWidth="1"/>
    <col min="6659" max="6661" width="9.36328125" style="97" customWidth="1"/>
    <col min="6662" max="6680" width="7.453125" style="97" customWidth="1"/>
    <col min="6681" max="6912" width="9.08984375" style="97"/>
    <col min="6913" max="6913" width="1.453125" style="97" customWidth="1"/>
    <col min="6914" max="6914" width="25.6328125" style="97" customWidth="1"/>
    <col min="6915" max="6917" width="9.36328125" style="97" customWidth="1"/>
    <col min="6918" max="6936" width="7.453125" style="97" customWidth="1"/>
    <col min="6937" max="7168" width="9.08984375" style="97"/>
    <col min="7169" max="7169" width="1.453125" style="97" customWidth="1"/>
    <col min="7170" max="7170" width="25.6328125" style="97" customWidth="1"/>
    <col min="7171" max="7173" width="9.36328125" style="97" customWidth="1"/>
    <col min="7174" max="7192" width="7.453125" style="97" customWidth="1"/>
    <col min="7193" max="7424" width="9.08984375" style="97"/>
    <col min="7425" max="7425" width="1.453125" style="97" customWidth="1"/>
    <col min="7426" max="7426" width="25.6328125" style="97" customWidth="1"/>
    <col min="7427" max="7429" width="9.36328125" style="97" customWidth="1"/>
    <col min="7430" max="7448" width="7.453125" style="97" customWidth="1"/>
    <col min="7449" max="7680" width="9.08984375" style="97"/>
    <col min="7681" max="7681" width="1.453125" style="97" customWidth="1"/>
    <col min="7682" max="7682" width="25.6328125" style="97" customWidth="1"/>
    <col min="7683" max="7685" width="9.36328125" style="97" customWidth="1"/>
    <col min="7686" max="7704" width="7.453125" style="97" customWidth="1"/>
    <col min="7705" max="7936" width="9.08984375" style="97"/>
    <col min="7937" max="7937" width="1.453125" style="97" customWidth="1"/>
    <col min="7938" max="7938" width="25.6328125" style="97" customWidth="1"/>
    <col min="7939" max="7941" width="9.36328125" style="97" customWidth="1"/>
    <col min="7942" max="7960" width="7.453125" style="97" customWidth="1"/>
    <col min="7961" max="8192" width="9.08984375" style="97"/>
    <col min="8193" max="8193" width="1.453125" style="97" customWidth="1"/>
    <col min="8194" max="8194" width="25.6328125" style="97" customWidth="1"/>
    <col min="8195" max="8197" width="9.36328125" style="97" customWidth="1"/>
    <col min="8198" max="8216" width="7.453125" style="97" customWidth="1"/>
    <col min="8217" max="8448" width="9.08984375" style="97"/>
    <col min="8449" max="8449" width="1.453125" style="97" customWidth="1"/>
    <col min="8450" max="8450" width="25.6328125" style="97" customWidth="1"/>
    <col min="8451" max="8453" width="9.36328125" style="97" customWidth="1"/>
    <col min="8454" max="8472" width="7.453125" style="97" customWidth="1"/>
    <col min="8473" max="8704" width="9.08984375" style="97"/>
    <col min="8705" max="8705" width="1.453125" style="97" customWidth="1"/>
    <col min="8706" max="8706" width="25.6328125" style="97" customWidth="1"/>
    <col min="8707" max="8709" width="9.36328125" style="97" customWidth="1"/>
    <col min="8710" max="8728" width="7.453125" style="97" customWidth="1"/>
    <col min="8729" max="8960" width="9.08984375" style="97"/>
    <col min="8961" max="8961" width="1.453125" style="97" customWidth="1"/>
    <col min="8962" max="8962" width="25.6328125" style="97" customWidth="1"/>
    <col min="8963" max="8965" width="9.36328125" style="97" customWidth="1"/>
    <col min="8966" max="8984" width="7.453125" style="97" customWidth="1"/>
    <col min="8985" max="9216" width="9.08984375" style="97"/>
    <col min="9217" max="9217" width="1.453125" style="97" customWidth="1"/>
    <col min="9218" max="9218" width="25.6328125" style="97" customWidth="1"/>
    <col min="9219" max="9221" width="9.36328125" style="97" customWidth="1"/>
    <col min="9222" max="9240" width="7.453125" style="97" customWidth="1"/>
    <col min="9241" max="9472" width="9.08984375" style="97"/>
    <col min="9473" max="9473" width="1.453125" style="97" customWidth="1"/>
    <col min="9474" max="9474" width="25.6328125" style="97" customWidth="1"/>
    <col min="9475" max="9477" width="9.36328125" style="97" customWidth="1"/>
    <col min="9478" max="9496" width="7.453125" style="97" customWidth="1"/>
    <col min="9497" max="9728" width="9.08984375" style="97"/>
    <col min="9729" max="9729" width="1.453125" style="97" customWidth="1"/>
    <col min="9730" max="9730" width="25.6328125" style="97" customWidth="1"/>
    <col min="9731" max="9733" width="9.36328125" style="97" customWidth="1"/>
    <col min="9734" max="9752" width="7.453125" style="97" customWidth="1"/>
    <col min="9753" max="9984" width="9.08984375" style="97"/>
    <col min="9985" max="9985" width="1.453125" style="97" customWidth="1"/>
    <col min="9986" max="9986" width="25.6328125" style="97" customWidth="1"/>
    <col min="9987" max="9989" width="9.36328125" style="97" customWidth="1"/>
    <col min="9990" max="10008" width="7.453125" style="97" customWidth="1"/>
    <col min="10009" max="10240" width="9.08984375" style="97"/>
    <col min="10241" max="10241" width="1.453125" style="97" customWidth="1"/>
    <col min="10242" max="10242" width="25.6328125" style="97" customWidth="1"/>
    <col min="10243" max="10245" width="9.36328125" style="97" customWidth="1"/>
    <col min="10246" max="10264" width="7.453125" style="97" customWidth="1"/>
    <col min="10265" max="10496" width="9.08984375" style="97"/>
    <col min="10497" max="10497" width="1.453125" style="97" customWidth="1"/>
    <col min="10498" max="10498" width="25.6328125" style="97" customWidth="1"/>
    <col min="10499" max="10501" width="9.36328125" style="97" customWidth="1"/>
    <col min="10502" max="10520" width="7.453125" style="97" customWidth="1"/>
    <col min="10521" max="10752" width="9.08984375" style="97"/>
    <col min="10753" max="10753" width="1.453125" style="97" customWidth="1"/>
    <col min="10754" max="10754" width="25.6328125" style="97" customWidth="1"/>
    <col min="10755" max="10757" width="9.36328125" style="97" customWidth="1"/>
    <col min="10758" max="10776" width="7.453125" style="97" customWidth="1"/>
    <col min="10777" max="11008" width="9.08984375" style="97"/>
    <col min="11009" max="11009" width="1.453125" style="97" customWidth="1"/>
    <col min="11010" max="11010" width="25.6328125" style="97" customWidth="1"/>
    <col min="11011" max="11013" width="9.36328125" style="97" customWidth="1"/>
    <col min="11014" max="11032" width="7.453125" style="97" customWidth="1"/>
    <col min="11033" max="11264" width="9.08984375" style="97"/>
    <col min="11265" max="11265" width="1.453125" style="97" customWidth="1"/>
    <col min="11266" max="11266" width="25.6328125" style="97" customWidth="1"/>
    <col min="11267" max="11269" width="9.36328125" style="97" customWidth="1"/>
    <col min="11270" max="11288" width="7.453125" style="97" customWidth="1"/>
    <col min="11289" max="11520" width="9.08984375" style="97"/>
    <col min="11521" max="11521" width="1.453125" style="97" customWidth="1"/>
    <col min="11522" max="11522" width="25.6328125" style="97" customWidth="1"/>
    <col min="11523" max="11525" width="9.36328125" style="97" customWidth="1"/>
    <col min="11526" max="11544" width="7.453125" style="97" customWidth="1"/>
    <col min="11545" max="11776" width="9.08984375" style="97"/>
    <col min="11777" max="11777" width="1.453125" style="97" customWidth="1"/>
    <col min="11778" max="11778" width="25.6328125" style="97" customWidth="1"/>
    <col min="11779" max="11781" width="9.36328125" style="97" customWidth="1"/>
    <col min="11782" max="11800" width="7.453125" style="97" customWidth="1"/>
    <col min="11801" max="12032" width="9.08984375" style="97"/>
    <col min="12033" max="12033" width="1.453125" style="97" customWidth="1"/>
    <col min="12034" max="12034" width="25.6328125" style="97" customWidth="1"/>
    <col min="12035" max="12037" width="9.36328125" style="97" customWidth="1"/>
    <col min="12038" max="12056" width="7.453125" style="97" customWidth="1"/>
    <col min="12057" max="12288" width="9.08984375" style="97"/>
    <col min="12289" max="12289" width="1.453125" style="97" customWidth="1"/>
    <col min="12290" max="12290" width="25.6328125" style="97" customWidth="1"/>
    <col min="12291" max="12293" width="9.36328125" style="97" customWidth="1"/>
    <col min="12294" max="12312" width="7.453125" style="97" customWidth="1"/>
    <col min="12313" max="12544" width="9.08984375" style="97"/>
    <col min="12545" max="12545" width="1.453125" style="97" customWidth="1"/>
    <col min="12546" max="12546" width="25.6328125" style="97" customWidth="1"/>
    <col min="12547" max="12549" width="9.36328125" style="97" customWidth="1"/>
    <col min="12550" max="12568" width="7.453125" style="97" customWidth="1"/>
    <col min="12569" max="12800" width="9.08984375" style="97"/>
    <col min="12801" max="12801" width="1.453125" style="97" customWidth="1"/>
    <col min="12802" max="12802" width="25.6328125" style="97" customWidth="1"/>
    <col min="12803" max="12805" width="9.36328125" style="97" customWidth="1"/>
    <col min="12806" max="12824" width="7.453125" style="97" customWidth="1"/>
    <col min="12825" max="13056" width="9.08984375" style="97"/>
    <col min="13057" max="13057" width="1.453125" style="97" customWidth="1"/>
    <col min="13058" max="13058" width="25.6328125" style="97" customWidth="1"/>
    <col min="13059" max="13061" width="9.36328125" style="97" customWidth="1"/>
    <col min="13062" max="13080" width="7.453125" style="97" customWidth="1"/>
    <col min="13081" max="13312" width="9.08984375" style="97"/>
    <col min="13313" max="13313" width="1.453125" style="97" customWidth="1"/>
    <col min="13314" max="13314" width="25.6328125" style="97" customWidth="1"/>
    <col min="13315" max="13317" width="9.36328125" style="97" customWidth="1"/>
    <col min="13318" max="13336" width="7.453125" style="97" customWidth="1"/>
    <col min="13337" max="13568" width="9.08984375" style="97"/>
    <col min="13569" max="13569" width="1.453125" style="97" customWidth="1"/>
    <col min="13570" max="13570" width="25.6328125" style="97" customWidth="1"/>
    <col min="13571" max="13573" width="9.36328125" style="97" customWidth="1"/>
    <col min="13574" max="13592" width="7.453125" style="97" customWidth="1"/>
    <col min="13593" max="13824" width="9.08984375" style="97"/>
    <col min="13825" max="13825" width="1.453125" style="97" customWidth="1"/>
    <col min="13826" max="13826" width="25.6328125" style="97" customWidth="1"/>
    <col min="13827" max="13829" width="9.36328125" style="97" customWidth="1"/>
    <col min="13830" max="13848" width="7.453125" style="97" customWidth="1"/>
    <col min="13849" max="14080" width="9.08984375" style="97"/>
    <col min="14081" max="14081" width="1.453125" style="97" customWidth="1"/>
    <col min="14082" max="14082" width="25.6328125" style="97" customWidth="1"/>
    <col min="14083" max="14085" width="9.36328125" style="97" customWidth="1"/>
    <col min="14086" max="14104" width="7.453125" style="97" customWidth="1"/>
    <col min="14105" max="14336" width="9.08984375" style="97"/>
    <col min="14337" max="14337" width="1.453125" style="97" customWidth="1"/>
    <col min="14338" max="14338" width="25.6328125" style="97" customWidth="1"/>
    <col min="14339" max="14341" width="9.36328125" style="97" customWidth="1"/>
    <col min="14342" max="14360" width="7.453125" style="97" customWidth="1"/>
    <col min="14361" max="14592" width="9.08984375" style="97"/>
    <col min="14593" max="14593" width="1.453125" style="97" customWidth="1"/>
    <col min="14594" max="14594" width="25.6328125" style="97" customWidth="1"/>
    <col min="14595" max="14597" width="9.36328125" style="97" customWidth="1"/>
    <col min="14598" max="14616" width="7.453125" style="97" customWidth="1"/>
    <col min="14617" max="14848" width="9.08984375" style="97"/>
    <col min="14849" max="14849" width="1.453125" style="97" customWidth="1"/>
    <col min="14850" max="14850" width="25.6328125" style="97" customWidth="1"/>
    <col min="14851" max="14853" width="9.36328125" style="97" customWidth="1"/>
    <col min="14854" max="14872" width="7.453125" style="97" customWidth="1"/>
    <col min="14873" max="15104" width="9.08984375" style="97"/>
    <col min="15105" max="15105" width="1.453125" style="97" customWidth="1"/>
    <col min="15106" max="15106" width="25.6328125" style="97" customWidth="1"/>
    <col min="15107" max="15109" width="9.36328125" style="97" customWidth="1"/>
    <col min="15110" max="15128" width="7.453125" style="97" customWidth="1"/>
    <col min="15129" max="15360" width="9.08984375" style="97"/>
    <col min="15361" max="15361" width="1.453125" style="97" customWidth="1"/>
    <col min="15362" max="15362" width="25.6328125" style="97" customWidth="1"/>
    <col min="15363" max="15365" width="9.36328125" style="97" customWidth="1"/>
    <col min="15366" max="15384" width="7.453125" style="97" customWidth="1"/>
    <col min="15385" max="15616" width="9.08984375" style="97"/>
    <col min="15617" max="15617" width="1.453125" style="97" customWidth="1"/>
    <col min="15618" max="15618" width="25.6328125" style="97" customWidth="1"/>
    <col min="15619" max="15621" width="9.36328125" style="97" customWidth="1"/>
    <col min="15622" max="15640" width="7.453125" style="97" customWidth="1"/>
    <col min="15641" max="15872" width="9.08984375" style="97"/>
    <col min="15873" max="15873" width="1.453125" style="97" customWidth="1"/>
    <col min="15874" max="15874" width="25.6328125" style="97" customWidth="1"/>
    <col min="15875" max="15877" width="9.36328125" style="97" customWidth="1"/>
    <col min="15878" max="15896" width="7.453125" style="97" customWidth="1"/>
    <col min="15897" max="16128" width="9.08984375" style="97"/>
    <col min="16129" max="16129" width="1.453125" style="97" customWidth="1"/>
    <col min="16130" max="16130" width="25.6328125" style="97" customWidth="1"/>
    <col min="16131" max="16133" width="9.36328125" style="97" customWidth="1"/>
    <col min="16134" max="16152" width="7.453125" style="97" customWidth="1"/>
    <col min="16153" max="16384" width="9.08984375" style="97"/>
  </cols>
  <sheetData>
    <row r="1" spans="1:10" s="148" customFormat="1" ht="15.5" x14ac:dyDescent="0.35">
      <c r="A1" s="146"/>
      <c r="B1" s="147" t="s">
        <v>110</v>
      </c>
    </row>
    <row r="2" spans="1:10" x14ac:dyDescent="0.25">
      <c r="B2" s="106" t="s">
        <v>111</v>
      </c>
      <c r="C2" s="105"/>
      <c r="D2" s="105"/>
      <c r="E2" s="105"/>
      <c r="F2" s="105"/>
      <c r="G2" s="105"/>
      <c r="H2" s="104"/>
    </row>
    <row r="3" spans="1:10" x14ac:dyDescent="0.25">
      <c r="B3" s="103" t="s">
        <v>112</v>
      </c>
      <c r="C3" s="102"/>
      <c r="D3" s="102"/>
      <c r="E3" s="102"/>
      <c r="F3" s="102"/>
      <c r="G3" s="102"/>
      <c r="H3" s="101"/>
    </row>
    <row r="4" spans="1:10" x14ac:dyDescent="0.25">
      <c r="B4" s="100" t="s">
        <v>0</v>
      </c>
      <c r="C4" s="99"/>
      <c r="D4" s="99"/>
      <c r="E4" s="99"/>
      <c r="F4" s="99"/>
      <c r="G4" s="99"/>
      <c r="H4" s="98"/>
    </row>
    <row r="6" spans="1:10" x14ac:dyDescent="0.25">
      <c r="B6" s="4" t="s">
        <v>1</v>
      </c>
    </row>
    <row r="7" spans="1:10" ht="13" x14ac:dyDescent="0.3">
      <c r="B7" s="143"/>
    </row>
    <row r="8" spans="1:10" ht="13" x14ac:dyDescent="0.3">
      <c r="B8" s="143" t="s">
        <v>2</v>
      </c>
    </row>
    <row r="9" spans="1:10" ht="13" x14ac:dyDescent="0.3">
      <c r="B9" s="55" t="s">
        <v>3</v>
      </c>
      <c r="C9" s="56"/>
      <c r="D9" s="149"/>
    </row>
    <row r="10" spans="1:10" ht="13" x14ac:dyDescent="0.3">
      <c r="B10" s="80" t="s">
        <v>36</v>
      </c>
      <c r="C10" s="150"/>
      <c r="D10" s="140" t="s">
        <v>45</v>
      </c>
      <c r="E10" s="143"/>
      <c r="F10" s="143"/>
      <c r="G10" s="143"/>
      <c r="H10" s="143"/>
      <c r="I10" s="143"/>
      <c r="J10" s="143"/>
    </row>
    <row r="11" spans="1:10" ht="13" x14ac:dyDescent="0.3">
      <c r="B11" s="111" t="s">
        <v>113</v>
      </c>
      <c r="D11" s="135">
        <v>1</v>
      </c>
      <c r="E11" s="143"/>
      <c r="F11" s="143"/>
      <c r="G11" s="143"/>
      <c r="H11" s="143"/>
      <c r="I11" s="143"/>
      <c r="J11" s="143"/>
    </row>
    <row r="12" spans="1:10" x14ac:dyDescent="0.25">
      <c r="B12" s="111" t="s">
        <v>37</v>
      </c>
      <c r="D12" s="135" t="s">
        <v>38</v>
      </c>
    </row>
    <row r="13" spans="1:10" x14ac:dyDescent="0.25">
      <c r="B13" s="111" t="s">
        <v>30</v>
      </c>
      <c r="D13" s="151">
        <v>20</v>
      </c>
    </row>
    <row r="14" spans="1:10" ht="13" x14ac:dyDescent="0.3">
      <c r="B14" s="111" t="s">
        <v>105</v>
      </c>
      <c r="D14" s="152">
        <v>20</v>
      </c>
      <c r="E14" s="143"/>
    </row>
    <row r="15" spans="1:10" x14ac:dyDescent="0.25">
      <c r="B15" s="111" t="s">
        <v>9</v>
      </c>
      <c r="D15" s="153">
        <f>365/2</f>
        <v>182.5</v>
      </c>
    </row>
    <row r="16" spans="1:10" x14ac:dyDescent="0.25">
      <c r="B16" s="111" t="s">
        <v>31</v>
      </c>
      <c r="D16" s="154">
        <v>0.25</v>
      </c>
    </row>
    <row r="17" spans="2:24" x14ac:dyDescent="0.25">
      <c r="B17" s="111" t="s">
        <v>11</v>
      </c>
      <c r="D17" s="154">
        <v>0.05</v>
      </c>
    </row>
    <row r="18" spans="2:24" ht="13" x14ac:dyDescent="0.3">
      <c r="B18" s="111"/>
      <c r="D18" s="155"/>
    </row>
    <row r="19" spans="2:24" ht="13" x14ac:dyDescent="0.3">
      <c r="B19" s="17" t="s">
        <v>104</v>
      </c>
      <c r="D19" s="155"/>
    </row>
    <row r="20" spans="2:24" x14ac:dyDescent="0.25">
      <c r="B20" s="111" t="s">
        <v>114</v>
      </c>
      <c r="D20" s="135" t="s">
        <v>48</v>
      </c>
    </row>
    <row r="21" spans="2:24" x14ac:dyDescent="0.25">
      <c r="B21" s="111" t="s">
        <v>115</v>
      </c>
      <c r="D21" s="152">
        <v>0.5</v>
      </c>
    </row>
    <row r="22" spans="2:24" x14ac:dyDescent="0.25">
      <c r="B22" s="111" t="s">
        <v>116</v>
      </c>
      <c r="D22" s="153">
        <v>20</v>
      </c>
    </row>
    <row r="23" spans="2:24" x14ac:dyDescent="0.25">
      <c r="B23" s="111"/>
      <c r="D23" s="156"/>
    </row>
    <row r="24" spans="2:24" ht="13" x14ac:dyDescent="0.3">
      <c r="B24" s="111"/>
      <c r="D24" s="157"/>
    </row>
    <row r="25" spans="2:24" x14ac:dyDescent="0.25">
      <c r="B25" s="111" t="s">
        <v>117</v>
      </c>
      <c r="D25" s="135">
        <v>-0.5</v>
      </c>
    </row>
    <row r="26" spans="2:24" x14ac:dyDescent="0.25">
      <c r="B26" s="111" t="s">
        <v>118</v>
      </c>
      <c r="D26" s="135">
        <v>1.8</v>
      </c>
    </row>
    <row r="27" spans="2:24" ht="13" x14ac:dyDescent="0.3">
      <c r="B27" s="111"/>
      <c r="D27" s="155"/>
    </row>
    <row r="28" spans="2:24" x14ac:dyDescent="0.25">
      <c r="B28" s="109" t="s">
        <v>119</v>
      </c>
      <c r="C28" s="108"/>
      <c r="D28" s="135">
        <v>100</v>
      </c>
    </row>
    <row r="30" spans="2:24" ht="13" x14ac:dyDescent="0.3">
      <c r="B30" s="55" t="s">
        <v>120</v>
      </c>
      <c r="C30" s="56"/>
      <c r="D30" s="79"/>
      <c r="E30" s="56"/>
      <c r="F30" s="56"/>
      <c r="G30" s="56"/>
      <c r="H30" s="56"/>
      <c r="I30" s="56"/>
      <c r="J30" s="56"/>
      <c r="K30" s="56"/>
      <c r="L30" s="56"/>
      <c r="M30" s="56"/>
      <c r="N30" s="56"/>
      <c r="O30" s="56"/>
      <c r="P30" s="56"/>
      <c r="Q30" s="56"/>
      <c r="R30" s="56"/>
      <c r="S30" s="56"/>
      <c r="T30" s="56"/>
      <c r="U30" s="56"/>
      <c r="V30" s="56"/>
      <c r="W30" s="56"/>
      <c r="X30" s="57"/>
    </row>
    <row r="31" spans="2:24" x14ac:dyDescent="0.25">
      <c r="B31" s="80" t="s">
        <v>70</v>
      </c>
      <c r="C31" s="158">
        <v>1</v>
      </c>
      <c r="D31" s="150"/>
      <c r="E31" s="150"/>
      <c r="F31" s="150"/>
      <c r="G31" s="150"/>
      <c r="H31" s="150"/>
      <c r="I31" s="150"/>
      <c r="J31" s="150"/>
      <c r="K31" s="150"/>
      <c r="L31" s="150"/>
      <c r="M31" s="150"/>
      <c r="N31" s="150"/>
      <c r="O31" s="150"/>
      <c r="P31" s="150"/>
      <c r="Q31" s="150"/>
      <c r="R31" s="150"/>
      <c r="S31" s="150"/>
      <c r="T31" s="150"/>
      <c r="U31" s="150"/>
      <c r="V31" s="150"/>
      <c r="W31" s="150"/>
      <c r="X31" s="159"/>
    </row>
    <row r="32" spans="2:24" x14ac:dyDescent="0.25">
      <c r="B32" s="109" t="s">
        <v>71</v>
      </c>
      <c r="C32" s="160">
        <v>2</v>
      </c>
      <c r="D32" s="160">
        <f t="shared" ref="D32:X32" si="0">C32+$C$31</f>
        <v>3</v>
      </c>
      <c r="E32" s="160">
        <f t="shared" si="0"/>
        <v>4</v>
      </c>
      <c r="F32" s="160">
        <f t="shared" si="0"/>
        <v>5</v>
      </c>
      <c r="G32" s="160">
        <f t="shared" si="0"/>
        <v>6</v>
      </c>
      <c r="H32" s="160">
        <f t="shared" si="0"/>
        <v>7</v>
      </c>
      <c r="I32" s="160">
        <f t="shared" si="0"/>
        <v>8</v>
      </c>
      <c r="J32" s="160">
        <f t="shared" si="0"/>
        <v>9</v>
      </c>
      <c r="K32" s="160">
        <f t="shared" si="0"/>
        <v>10</v>
      </c>
      <c r="L32" s="160">
        <f t="shared" si="0"/>
        <v>11</v>
      </c>
      <c r="M32" s="160">
        <f t="shared" si="0"/>
        <v>12</v>
      </c>
      <c r="N32" s="160">
        <f t="shared" si="0"/>
        <v>13</v>
      </c>
      <c r="O32" s="160">
        <f t="shared" si="0"/>
        <v>14</v>
      </c>
      <c r="P32" s="160">
        <f t="shared" si="0"/>
        <v>15</v>
      </c>
      <c r="Q32" s="160">
        <f t="shared" si="0"/>
        <v>16</v>
      </c>
      <c r="R32" s="160">
        <f t="shared" si="0"/>
        <v>17</v>
      </c>
      <c r="S32" s="160">
        <f t="shared" si="0"/>
        <v>18</v>
      </c>
      <c r="T32" s="160">
        <f t="shared" si="0"/>
        <v>19</v>
      </c>
      <c r="U32" s="160">
        <f t="shared" si="0"/>
        <v>20</v>
      </c>
      <c r="V32" s="160">
        <f t="shared" si="0"/>
        <v>21</v>
      </c>
      <c r="W32" s="160">
        <f t="shared" si="0"/>
        <v>22</v>
      </c>
      <c r="X32" s="160">
        <f t="shared" si="0"/>
        <v>23</v>
      </c>
    </row>
    <row r="33" spans="2:25" x14ac:dyDescent="0.25">
      <c r="B33" s="111" t="s">
        <v>121</v>
      </c>
      <c r="C33" s="161" t="e">
        <f t="shared" ref="C33:X33" ca="1" si="1">[3]!HoadleyOptionsNLN("P",$D$11,$D$12,C$32,$D$14,$D$15,$D$16,$D$17,$D$20,$D$21,$D$22,$D$25,$D$26,$D$28)</f>
        <v>#NAME?</v>
      </c>
      <c r="D33" s="161" t="e">
        <f t="shared" ca="1" si="1"/>
        <v>#NAME?</v>
      </c>
      <c r="E33" s="161" t="e">
        <f t="shared" ca="1" si="1"/>
        <v>#NAME?</v>
      </c>
      <c r="F33" s="161" t="e">
        <f t="shared" ca="1" si="1"/>
        <v>#NAME?</v>
      </c>
      <c r="G33" s="161" t="e">
        <f t="shared" ca="1" si="1"/>
        <v>#NAME?</v>
      </c>
      <c r="H33" s="161" t="e">
        <f t="shared" ca="1" si="1"/>
        <v>#NAME?</v>
      </c>
      <c r="I33" s="161" t="e">
        <f t="shared" ca="1" si="1"/>
        <v>#NAME?</v>
      </c>
      <c r="J33" s="161" t="e">
        <f t="shared" ca="1" si="1"/>
        <v>#NAME?</v>
      </c>
      <c r="K33" s="161" t="e">
        <f t="shared" ca="1" si="1"/>
        <v>#NAME?</v>
      </c>
      <c r="L33" s="161" t="e">
        <f t="shared" ca="1" si="1"/>
        <v>#NAME?</v>
      </c>
      <c r="M33" s="161" t="e">
        <f t="shared" ca="1" si="1"/>
        <v>#NAME?</v>
      </c>
      <c r="N33" s="161" t="e">
        <f t="shared" ca="1" si="1"/>
        <v>#NAME?</v>
      </c>
      <c r="O33" s="161" t="e">
        <f t="shared" ca="1" si="1"/>
        <v>#NAME?</v>
      </c>
      <c r="P33" s="161" t="e">
        <f t="shared" ca="1" si="1"/>
        <v>#NAME?</v>
      </c>
      <c r="Q33" s="161" t="e">
        <f t="shared" ca="1" si="1"/>
        <v>#NAME?</v>
      </c>
      <c r="R33" s="161" t="e">
        <f t="shared" ca="1" si="1"/>
        <v>#NAME?</v>
      </c>
      <c r="S33" s="161" t="e">
        <f t="shared" ca="1" si="1"/>
        <v>#NAME?</v>
      </c>
      <c r="T33" s="161" t="e">
        <f t="shared" ca="1" si="1"/>
        <v>#NAME?</v>
      </c>
      <c r="U33" s="161" t="e">
        <f t="shared" ca="1" si="1"/>
        <v>#NAME?</v>
      </c>
      <c r="V33" s="161" t="e">
        <f t="shared" ca="1" si="1"/>
        <v>#NAME?</v>
      </c>
      <c r="W33" s="161" t="e">
        <f t="shared" ca="1" si="1"/>
        <v>#NAME?</v>
      </c>
      <c r="X33" s="161" t="e">
        <f t="shared" ca="1" si="1"/>
        <v>#NAME?</v>
      </c>
    </row>
    <row r="34" spans="2:25" x14ac:dyDescent="0.25">
      <c r="B34" s="111" t="s">
        <v>122</v>
      </c>
      <c r="C34" s="162" t="e">
        <f t="shared" ref="C34:X34" ca="1" si="2">[3]!HoadleyOptions2("P",$D$11,$D$12,C32,$D$14,$D$15,$D$16,$D$17,$D$20,$D$21,$D$22,$D$28)</f>
        <v>#NAME?</v>
      </c>
      <c r="D34" s="163" t="e">
        <f t="shared" ca="1" si="2"/>
        <v>#NAME?</v>
      </c>
      <c r="E34" s="163" t="e">
        <f t="shared" ca="1" si="2"/>
        <v>#NAME?</v>
      </c>
      <c r="F34" s="163" t="e">
        <f t="shared" ca="1" si="2"/>
        <v>#NAME?</v>
      </c>
      <c r="G34" s="163" t="e">
        <f t="shared" ca="1" si="2"/>
        <v>#NAME?</v>
      </c>
      <c r="H34" s="163" t="e">
        <f t="shared" ca="1" si="2"/>
        <v>#NAME?</v>
      </c>
      <c r="I34" s="163" t="e">
        <f t="shared" ca="1" si="2"/>
        <v>#NAME?</v>
      </c>
      <c r="J34" s="163" t="e">
        <f t="shared" ca="1" si="2"/>
        <v>#NAME?</v>
      </c>
      <c r="K34" s="163" t="e">
        <f t="shared" ca="1" si="2"/>
        <v>#NAME?</v>
      </c>
      <c r="L34" s="163" t="e">
        <f t="shared" ca="1" si="2"/>
        <v>#NAME?</v>
      </c>
      <c r="M34" s="163" t="e">
        <f t="shared" ca="1" si="2"/>
        <v>#NAME?</v>
      </c>
      <c r="N34" s="163" t="e">
        <f t="shared" ca="1" si="2"/>
        <v>#NAME?</v>
      </c>
      <c r="O34" s="163" t="e">
        <f t="shared" ca="1" si="2"/>
        <v>#NAME?</v>
      </c>
      <c r="P34" s="163" t="e">
        <f t="shared" ca="1" si="2"/>
        <v>#NAME?</v>
      </c>
      <c r="Q34" s="163" t="e">
        <f t="shared" ca="1" si="2"/>
        <v>#NAME?</v>
      </c>
      <c r="R34" s="163" t="e">
        <f t="shared" ca="1" si="2"/>
        <v>#NAME?</v>
      </c>
      <c r="S34" s="163" t="e">
        <f t="shared" ca="1" si="2"/>
        <v>#NAME?</v>
      </c>
      <c r="T34" s="163" t="e">
        <f t="shared" ca="1" si="2"/>
        <v>#NAME?</v>
      </c>
      <c r="U34" s="163" t="e">
        <f t="shared" ca="1" si="2"/>
        <v>#NAME?</v>
      </c>
      <c r="V34" s="163" t="e">
        <f t="shared" ca="1" si="2"/>
        <v>#NAME?</v>
      </c>
      <c r="W34" s="163" t="e">
        <f t="shared" ca="1" si="2"/>
        <v>#NAME?</v>
      </c>
      <c r="X34" s="163" t="e">
        <f t="shared" ca="1" si="2"/>
        <v>#NAME?</v>
      </c>
    </row>
    <row r="35" spans="2:25" x14ac:dyDescent="0.25">
      <c r="B35" s="109" t="s">
        <v>123</v>
      </c>
      <c r="C35" s="117" t="e">
        <f ca="1">[3]!HoadleyOptionsNLN("IV",$D$11,$D$12,C$32,$D$14,$D$15,$D$16,$D$17,$D$20,$D$21,$D$22,$D$25,$D$26,$D$28)</f>
        <v>#NAME?</v>
      </c>
      <c r="D35" s="117" t="e">
        <f t="shared" ref="D35:X35" ca="1" si="3">[3]!HoadleyOptionsNLN("IV",$D$11,$D$12,D$32,$D$14,$D$15,$D$16,$D$17,$D$20,$D$21,$D$22,$D$25,$D$26,$D$28)</f>
        <v>#NAME?</v>
      </c>
      <c r="E35" s="117" t="e">
        <f t="shared" ca="1" si="3"/>
        <v>#NAME?</v>
      </c>
      <c r="F35" s="117" t="e">
        <f t="shared" ca="1" si="3"/>
        <v>#NAME?</v>
      </c>
      <c r="G35" s="117" t="e">
        <f t="shared" ca="1" si="3"/>
        <v>#NAME?</v>
      </c>
      <c r="H35" s="117" t="e">
        <f t="shared" ca="1" si="3"/>
        <v>#NAME?</v>
      </c>
      <c r="I35" s="117" t="e">
        <f t="shared" ca="1" si="3"/>
        <v>#NAME?</v>
      </c>
      <c r="J35" s="117" t="e">
        <f t="shared" ca="1" si="3"/>
        <v>#NAME?</v>
      </c>
      <c r="K35" s="117" t="e">
        <f t="shared" ca="1" si="3"/>
        <v>#NAME?</v>
      </c>
      <c r="L35" s="117" t="e">
        <f t="shared" ca="1" si="3"/>
        <v>#NAME?</v>
      </c>
      <c r="M35" s="117" t="e">
        <f t="shared" ca="1" si="3"/>
        <v>#NAME?</v>
      </c>
      <c r="N35" s="117" t="e">
        <f t="shared" ca="1" si="3"/>
        <v>#NAME?</v>
      </c>
      <c r="O35" s="117" t="e">
        <f t="shared" ca="1" si="3"/>
        <v>#NAME?</v>
      </c>
      <c r="P35" s="117" t="e">
        <f t="shared" ca="1" si="3"/>
        <v>#NAME?</v>
      </c>
      <c r="Q35" s="117" t="e">
        <f t="shared" ca="1" si="3"/>
        <v>#NAME?</v>
      </c>
      <c r="R35" s="117" t="e">
        <f t="shared" ca="1" si="3"/>
        <v>#NAME?</v>
      </c>
      <c r="S35" s="117" t="e">
        <f t="shared" ca="1" si="3"/>
        <v>#NAME?</v>
      </c>
      <c r="T35" s="117" t="e">
        <f t="shared" ca="1" si="3"/>
        <v>#NAME?</v>
      </c>
      <c r="U35" s="117" t="e">
        <f t="shared" ca="1" si="3"/>
        <v>#NAME?</v>
      </c>
      <c r="V35" s="117" t="e">
        <f t="shared" ca="1" si="3"/>
        <v>#NAME?</v>
      </c>
      <c r="W35" s="117" t="e">
        <f t="shared" ca="1" si="3"/>
        <v>#NAME?</v>
      </c>
      <c r="X35" s="117" t="e">
        <f t="shared" ca="1" si="3"/>
        <v>#NAME?</v>
      </c>
    </row>
    <row r="36" spans="2:25" x14ac:dyDescent="0.25">
      <c r="C36" s="164"/>
      <c r="D36" s="164"/>
      <c r="E36" s="164"/>
      <c r="F36" s="164"/>
      <c r="G36" s="164"/>
      <c r="H36" s="164"/>
      <c r="I36" s="164"/>
      <c r="J36" s="164"/>
      <c r="K36" s="164"/>
      <c r="L36" s="164"/>
      <c r="M36" s="164"/>
      <c r="N36" s="164"/>
      <c r="O36" s="164"/>
      <c r="P36" s="164"/>
    </row>
    <row r="45" spans="2:25" x14ac:dyDescent="0.25">
      <c r="Y45" s="165"/>
    </row>
    <row r="46" spans="2:25" x14ac:dyDescent="0.25">
      <c r="B46" s="77" t="s">
        <v>67</v>
      </c>
    </row>
    <row r="47" spans="2:25" ht="13" x14ac:dyDescent="0.3">
      <c r="B47" s="143"/>
    </row>
    <row r="48" spans="2:25" ht="13" x14ac:dyDescent="0.3">
      <c r="B48" s="143"/>
    </row>
    <row r="49" spans="2:2" ht="13" x14ac:dyDescent="0.3">
      <c r="B49" s="143"/>
    </row>
    <row r="50" spans="2:2" ht="13" x14ac:dyDescent="0.3">
      <c r="B50" s="143"/>
    </row>
    <row r="51" spans="2:2" ht="13" x14ac:dyDescent="0.3">
      <c r="B51" s="143"/>
    </row>
    <row r="52" spans="2:2" ht="13" x14ac:dyDescent="0.3">
      <c r="B52" s="143"/>
    </row>
    <row r="53" spans="2:2" ht="13" x14ac:dyDescent="0.3">
      <c r="B53" s="143"/>
    </row>
    <row r="54" spans="2:2" ht="13" x14ac:dyDescent="0.3">
      <c r="B54" s="143"/>
    </row>
    <row r="55" spans="2:2" ht="13" x14ac:dyDescent="0.3">
      <c r="B55" s="143"/>
    </row>
    <row r="56" spans="2:2" ht="13" x14ac:dyDescent="0.3">
      <c r="B56" s="143"/>
    </row>
    <row r="57" spans="2:2" ht="13" x14ac:dyDescent="0.3">
      <c r="B57" s="143"/>
    </row>
    <row r="58" spans="2:2" ht="13" x14ac:dyDescent="0.3">
      <c r="B58" s="143"/>
    </row>
    <row r="59" spans="2:2" ht="13" x14ac:dyDescent="0.3">
      <c r="B59" s="143"/>
    </row>
    <row r="60" spans="2:2" ht="13" x14ac:dyDescent="0.3">
      <c r="B60" s="143"/>
    </row>
    <row r="61" spans="2:2" ht="13" x14ac:dyDescent="0.3">
      <c r="B61" s="143"/>
    </row>
    <row r="62" spans="2:2" ht="13" x14ac:dyDescent="0.3">
      <c r="B62" s="143"/>
    </row>
    <row r="63" spans="2:2" ht="13" x14ac:dyDescent="0.3">
      <c r="B63" s="143"/>
    </row>
    <row r="64" spans="2:2" ht="13" x14ac:dyDescent="0.3">
      <c r="B64" s="143"/>
    </row>
    <row r="65" spans="2:2" ht="13" x14ac:dyDescent="0.3">
      <c r="B65" s="143"/>
    </row>
    <row r="66" spans="2:2" ht="13" x14ac:dyDescent="0.3">
      <c r="B66" s="143"/>
    </row>
    <row r="67" spans="2:2" ht="13" x14ac:dyDescent="0.3">
      <c r="B67" s="143"/>
    </row>
    <row r="68" spans="2:2" ht="13" x14ac:dyDescent="0.3">
      <c r="B68" s="143"/>
    </row>
    <row r="69" spans="2:2" ht="13" x14ac:dyDescent="0.3">
      <c r="B69" s="143"/>
    </row>
    <row r="70" spans="2:2" ht="13" x14ac:dyDescent="0.3">
      <c r="B70" s="143"/>
    </row>
    <row r="71" spans="2:2" ht="13" x14ac:dyDescent="0.3">
      <c r="B71" s="143"/>
    </row>
    <row r="72" spans="2:2" ht="13" x14ac:dyDescent="0.3">
      <c r="B72" s="143"/>
    </row>
    <row r="73" spans="2:2" ht="13" x14ac:dyDescent="0.3">
      <c r="B73" s="143"/>
    </row>
    <row r="74" spans="2:2" ht="13" x14ac:dyDescent="0.3">
      <c r="B74" s="143"/>
    </row>
    <row r="75" spans="2:2" ht="13" x14ac:dyDescent="0.3">
      <c r="B75" s="143"/>
    </row>
    <row r="76" spans="2:2" ht="13" x14ac:dyDescent="0.3">
      <c r="B76" s="143"/>
    </row>
    <row r="77" spans="2:2" ht="13" x14ac:dyDescent="0.3">
      <c r="B77" s="143"/>
    </row>
    <row r="78" spans="2:2" ht="13" x14ac:dyDescent="0.3">
      <c r="B78" s="143"/>
    </row>
    <row r="79" spans="2:2" ht="13" x14ac:dyDescent="0.3">
      <c r="B79" s="143"/>
    </row>
    <row r="80" spans="2:2" ht="13" x14ac:dyDescent="0.3">
      <c r="B80" s="143"/>
    </row>
    <row r="81" spans="2:25" ht="13" x14ac:dyDescent="0.3">
      <c r="B81" s="143"/>
    </row>
    <row r="82" spans="2:25" ht="13" x14ac:dyDescent="0.3">
      <c r="B82" s="143"/>
    </row>
    <row r="83" spans="2:25" ht="13" x14ac:dyDescent="0.3">
      <c r="B83" s="143"/>
    </row>
    <row r="84" spans="2:25" ht="13" x14ac:dyDescent="0.3">
      <c r="B84" s="143"/>
    </row>
    <row r="85" spans="2:25" ht="13" x14ac:dyDescent="0.3">
      <c r="B85" s="143"/>
    </row>
    <row r="86" spans="2:25" ht="13" x14ac:dyDescent="0.3">
      <c r="B86" s="143"/>
    </row>
    <row r="87" spans="2:25" ht="13" x14ac:dyDescent="0.3">
      <c r="B87" s="143"/>
    </row>
    <row r="90" spans="2:25" x14ac:dyDescent="0.25">
      <c r="B90" s="97" t="s">
        <v>124</v>
      </c>
      <c r="C90" s="166">
        <f t="shared" ref="C90:X90" si="4">$D$16</f>
        <v>0.25</v>
      </c>
      <c r="D90" s="166">
        <f t="shared" si="4"/>
        <v>0.25</v>
      </c>
      <c r="E90" s="166">
        <f t="shared" si="4"/>
        <v>0.25</v>
      </c>
      <c r="F90" s="166">
        <f t="shared" si="4"/>
        <v>0.25</v>
      </c>
      <c r="G90" s="166">
        <f t="shared" si="4"/>
        <v>0.25</v>
      </c>
      <c r="H90" s="166">
        <f t="shared" si="4"/>
        <v>0.25</v>
      </c>
      <c r="I90" s="166">
        <f t="shared" si="4"/>
        <v>0.25</v>
      </c>
      <c r="J90" s="166">
        <f t="shared" si="4"/>
        <v>0.25</v>
      </c>
      <c r="K90" s="166">
        <f t="shared" si="4"/>
        <v>0.25</v>
      </c>
      <c r="L90" s="166">
        <f t="shared" si="4"/>
        <v>0.25</v>
      </c>
      <c r="M90" s="166">
        <f t="shared" si="4"/>
        <v>0.25</v>
      </c>
      <c r="N90" s="166">
        <f t="shared" si="4"/>
        <v>0.25</v>
      </c>
      <c r="O90" s="166">
        <f t="shared" si="4"/>
        <v>0.25</v>
      </c>
      <c r="P90" s="166">
        <f t="shared" si="4"/>
        <v>0.25</v>
      </c>
      <c r="Q90" s="166">
        <f t="shared" si="4"/>
        <v>0.25</v>
      </c>
      <c r="R90" s="166">
        <f t="shared" si="4"/>
        <v>0.25</v>
      </c>
      <c r="S90" s="166">
        <f t="shared" si="4"/>
        <v>0.25</v>
      </c>
      <c r="T90" s="166">
        <f t="shared" si="4"/>
        <v>0.25</v>
      </c>
      <c r="U90" s="166">
        <f t="shared" si="4"/>
        <v>0.25</v>
      </c>
      <c r="V90" s="166">
        <f t="shared" si="4"/>
        <v>0.25</v>
      </c>
      <c r="W90" s="166">
        <f t="shared" si="4"/>
        <v>0.25</v>
      </c>
      <c r="X90" s="166">
        <f t="shared" si="4"/>
        <v>0.25</v>
      </c>
      <c r="Y90" s="166"/>
    </row>
    <row r="106" spans="2:2" x14ac:dyDescent="0.25">
      <c r="B106" s="167" t="s">
        <v>38</v>
      </c>
    </row>
    <row r="107" spans="2:2" x14ac:dyDescent="0.25">
      <c r="B107" s="167" t="s">
        <v>45</v>
      </c>
    </row>
    <row r="108" spans="2:2" x14ac:dyDescent="0.25">
      <c r="B108" s="168">
        <v>1</v>
      </c>
    </row>
    <row r="109" spans="2:2" x14ac:dyDescent="0.25">
      <c r="B109" s="168">
        <v>2</v>
      </c>
    </row>
    <row r="110" spans="2:2" x14ac:dyDescent="0.25">
      <c r="B110" s="168">
        <v>3</v>
      </c>
    </row>
    <row r="111" spans="2:2" x14ac:dyDescent="0.25">
      <c r="B111" s="167" t="s">
        <v>81</v>
      </c>
    </row>
    <row r="112" spans="2:2" x14ac:dyDescent="0.25">
      <c r="B112" s="167" t="s">
        <v>38</v>
      </c>
    </row>
    <row r="113" spans="2:2" x14ac:dyDescent="0.25">
      <c r="B113" s="167" t="s">
        <v>48</v>
      </c>
    </row>
  </sheetData>
  <dataValidations count="3">
    <dataValidation type="list" allowBlank="1" showInputMessage="1" showErrorMessage="1" sqref="D20 IZ20 SV20 ACR20 AMN20 AWJ20 BGF20 BQB20 BZX20 CJT20 CTP20 DDL20 DNH20 DXD20 EGZ20 EQV20 FAR20 FKN20 FUJ20 GEF20 GOB20 GXX20 HHT20 HRP20 IBL20 ILH20 IVD20 JEZ20 JOV20 JYR20 KIN20 KSJ20 LCF20 LMB20 LVX20 MFT20 MPP20 MZL20 NJH20 NTD20 OCZ20 OMV20 OWR20 PGN20 PQJ20 QAF20 QKB20 QTX20 RDT20 RNP20 RXL20 SHH20 SRD20 TAZ20 TKV20 TUR20 UEN20 UOJ20 UYF20 VIB20 VRX20 WBT20 WLP20 WVL20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xr:uid="{1F795785-A05E-4C30-82F5-F226E94DD2A0}">
      <formula1>$B$111:$B$113</formula1>
    </dataValidation>
    <dataValidation type="list" allowBlank="1" showInputMessage="1" showErrorMessage="1" sqref="D12 IZ12 SV12 ACR12 AMN12 AWJ12 BGF12 BQB12 BZX12 CJT12 CTP12 DDL12 DNH12 DXD12 EGZ12 EQV12 FAR12 FKN12 FUJ12 GEF12 GOB12 GXX12 HHT12 HRP12 IBL12 ILH12 IVD12 JEZ12 JOV12 JYR12 KIN12 KSJ12 LCF12 LMB12 LVX12 MFT12 MPP12 MZL12 NJH12 NTD12 OCZ12 OMV12 OWR12 PGN12 PQJ12 QAF12 QKB12 QTX12 RDT12 RNP12 RXL12 SHH12 SRD12 TAZ12 TKV12 TUR12 UEN12 UOJ12 UYF12 VIB12 VRX12 WBT12 WLP12 WVL12 D65548 IZ65548 SV65548 ACR65548 AMN65548 AWJ65548 BGF65548 BQB65548 BZX65548 CJT65548 CTP65548 DDL65548 DNH65548 DXD65548 EGZ65548 EQV65548 FAR65548 FKN65548 FUJ65548 GEF65548 GOB65548 GXX65548 HHT65548 HRP65548 IBL65548 ILH65548 IVD65548 JEZ65548 JOV65548 JYR65548 KIN65548 KSJ65548 LCF65548 LMB65548 LVX65548 MFT65548 MPP65548 MZL65548 NJH65548 NTD65548 OCZ65548 OMV65548 OWR65548 PGN65548 PQJ65548 QAF65548 QKB65548 QTX65548 RDT65548 RNP65548 RXL65548 SHH65548 SRD65548 TAZ65548 TKV65548 TUR65548 UEN65548 UOJ65548 UYF65548 VIB65548 VRX65548 WBT65548 WLP65548 WVL65548 D131084 IZ131084 SV131084 ACR131084 AMN131084 AWJ131084 BGF131084 BQB131084 BZX131084 CJT131084 CTP131084 DDL131084 DNH131084 DXD131084 EGZ131084 EQV131084 FAR131084 FKN131084 FUJ131084 GEF131084 GOB131084 GXX131084 HHT131084 HRP131084 IBL131084 ILH131084 IVD131084 JEZ131084 JOV131084 JYR131084 KIN131084 KSJ131084 LCF131084 LMB131084 LVX131084 MFT131084 MPP131084 MZL131084 NJH131084 NTD131084 OCZ131084 OMV131084 OWR131084 PGN131084 PQJ131084 QAF131084 QKB131084 QTX131084 RDT131084 RNP131084 RXL131084 SHH131084 SRD131084 TAZ131084 TKV131084 TUR131084 UEN131084 UOJ131084 UYF131084 VIB131084 VRX131084 WBT131084 WLP131084 WVL131084 D196620 IZ196620 SV196620 ACR196620 AMN196620 AWJ196620 BGF196620 BQB196620 BZX196620 CJT196620 CTP196620 DDL196620 DNH196620 DXD196620 EGZ196620 EQV196620 FAR196620 FKN196620 FUJ196620 GEF196620 GOB196620 GXX196620 HHT196620 HRP196620 IBL196620 ILH196620 IVD196620 JEZ196620 JOV196620 JYR196620 KIN196620 KSJ196620 LCF196620 LMB196620 LVX196620 MFT196620 MPP196620 MZL196620 NJH196620 NTD196620 OCZ196620 OMV196620 OWR196620 PGN196620 PQJ196620 QAF196620 QKB196620 QTX196620 RDT196620 RNP196620 RXL196620 SHH196620 SRD196620 TAZ196620 TKV196620 TUR196620 UEN196620 UOJ196620 UYF196620 VIB196620 VRX196620 WBT196620 WLP196620 WVL196620 D262156 IZ262156 SV262156 ACR262156 AMN262156 AWJ262156 BGF262156 BQB262156 BZX262156 CJT262156 CTP262156 DDL262156 DNH262156 DXD262156 EGZ262156 EQV262156 FAR262156 FKN262156 FUJ262156 GEF262156 GOB262156 GXX262156 HHT262156 HRP262156 IBL262156 ILH262156 IVD262156 JEZ262156 JOV262156 JYR262156 KIN262156 KSJ262156 LCF262156 LMB262156 LVX262156 MFT262156 MPP262156 MZL262156 NJH262156 NTD262156 OCZ262156 OMV262156 OWR262156 PGN262156 PQJ262156 QAF262156 QKB262156 QTX262156 RDT262156 RNP262156 RXL262156 SHH262156 SRD262156 TAZ262156 TKV262156 TUR262156 UEN262156 UOJ262156 UYF262156 VIB262156 VRX262156 WBT262156 WLP262156 WVL262156 D327692 IZ327692 SV327692 ACR327692 AMN327692 AWJ327692 BGF327692 BQB327692 BZX327692 CJT327692 CTP327692 DDL327692 DNH327692 DXD327692 EGZ327692 EQV327692 FAR327692 FKN327692 FUJ327692 GEF327692 GOB327692 GXX327692 HHT327692 HRP327692 IBL327692 ILH327692 IVD327692 JEZ327692 JOV327692 JYR327692 KIN327692 KSJ327692 LCF327692 LMB327692 LVX327692 MFT327692 MPP327692 MZL327692 NJH327692 NTD327692 OCZ327692 OMV327692 OWR327692 PGN327692 PQJ327692 QAF327692 QKB327692 QTX327692 RDT327692 RNP327692 RXL327692 SHH327692 SRD327692 TAZ327692 TKV327692 TUR327692 UEN327692 UOJ327692 UYF327692 VIB327692 VRX327692 WBT327692 WLP327692 WVL327692 D393228 IZ393228 SV393228 ACR393228 AMN393228 AWJ393228 BGF393228 BQB393228 BZX393228 CJT393228 CTP393228 DDL393228 DNH393228 DXD393228 EGZ393228 EQV393228 FAR393228 FKN393228 FUJ393228 GEF393228 GOB393228 GXX393228 HHT393228 HRP393228 IBL393228 ILH393228 IVD393228 JEZ393228 JOV393228 JYR393228 KIN393228 KSJ393228 LCF393228 LMB393228 LVX393228 MFT393228 MPP393228 MZL393228 NJH393228 NTD393228 OCZ393228 OMV393228 OWR393228 PGN393228 PQJ393228 QAF393228 QKB393228 QTX393228 RDT393228 RNP393228 RXL393228 SHH393228 SRD393228 TAZ393228 TKV393228 TUR393228 UEN393228 UOJ393228 UYF393228 VIB393228 VRX393228 WBT393228 WLP393228 WVL393228 D458764 IZ458764 SV458764 ACR458764 AMN458764 AWJ458764 BGF458764 BQB458764 BZX458764 CJT458764 CTP458764 DDL458764 DNH458764 DXD458764 EGZ458764 EQV458764 FAR458764 FKN458764 FUJ458764 GEF458764 GOB458764 GXX458764 HHT458764 HRP458764 IBL458764 ILH458764 IVD458764 JEZ458764 JOV458764 JYR458764 KIN458764 KSJ458764 LCF458764 LMB458764 LVX458764 MFT458764 MPP458764 MZL458764 NJH458764 NTD458764 OCZ458764 OMV458764 OWR458764 PGN458764 PQJ458764 QAF458764 QKB458764 QTX458764 RDT458764 RNP458764 RXL458764 SHH458764 SRD458764 TAZ458764 TKV458764 TUR458764 UEN458764 UOJ458764 UYF458764 VIB458764 VRX458764 WBT458764 WLP458764 WVL458764 D524300 IZ524300 SV524300 ACR524300 AMN524300 AWJ524300 BGF524300 BQB524300 BZX524300 CJT524300 CTP524300 DDL524300 DNH524300 DXD524300 EGZ524300 EQV524300 FAR524300 FKN524300 FUJ524300 GEF524300 GOB524300 GXX524300 HHT524300 HRP524300 IBL524300 ILH524300 IVD524300 JEZ524300 JOV524300 JYR524300 KIN524300 KSJ524300 LCF524300 LMB524300 LVX524300 MFT524300 MPP524300 MZL524300 NJH524300 NTD524300 OCZ524300 OMV524300 OWR524300 PGN524300 PQJ524300 QAF524300 QKB524300 QTX524300 RDT524300 RNP524300 RXL524300 SHH524300 SRD524300 TAZ524300 TKV524300 TUR524300 UEN524300 UOJ524300 UYF524300 VIB524300 VRX524300 WBT524300 WLP524300 WVL524300 D589836 IZ589836 SV589836 ACR589836 AMN589836 AWJ589836 BGF589836 BQB589836 BZX589836 CJT589836 CTP589836 DDL589836 DNH589836 DXD589836 EGZ589836 EQV589836 FAR589836 FKN589836 FUJ589836 GEF589836 GOB589836 GXX589836 HHT589836 HRP589836 IBL589836 ILH589836 IVD589836 JEZ589836 JOV589836 JYR589836 KIN589836 KSJ589836 LCF589836 LMB589836 LVX589836 MFT589836 MPP589836 MZL589836 NJH589836 NTD589836 OCZ589836 OMV589836 OWR589836 PGN589836 PQJ589836 QAF589836 QKB589836 QTX589836 RDT589836 RNP589836 RXL589836 SHH589836 SRD589836 TAZ589836 TKV589836 TUR589836 UEN589836 UOJ589836 UYF589836 VIB589836 VRX589836 WBT589836 WLP589836 WVL589836 D655372 IZ655372 SV655372 ACR655372 AMN655372 AWJ655372 BGF655372 BQB655372 BZX655372 CJT655372 CTP655372 DDL655372 DNH655372 DXD655372 EGZ655372 EQV655372 FAR655372 FKN655372 FUJ655372 GEF655372 GOB655372 GXX655372 HHT655372 HRP655372 IBL655372 ILH655372 IVD655372 JEZ655372 JOV655372 JYR655372 KIN655372 KSJ655372 LCF655372 LMB655372 LVX655372 MFT655372 MPP655372 MZL655372 NJH655372 NTD655372 OCZ655372 OMV655372 OWR655372 PGN655372 PQJ655372 QAF655372 QKB655372 QTX655372 RDT655372 RNP655372 RXL655372 SHH655372 SRD655372 TAZ655372 TKV655372 TUR655372 UEN655372 UOJ655372 UYF655372 VIB655372 VRX655372 WBT655372 WLP655372 WVL655372 D720908 IZ720908 SV720908 ACR720908 AMN720908 AWJ720908 BGF720908 BQB720908 BZX720908 CJT720908 CTP720908 DDL720908 DNH720908 DXD720908 EGZ720908 EQV720908 FAR720908 FKN720908 FUJ720908 GEF720908 GOB720908 GXX720908 HHT720908 HRP720908 IBL720908 ILH720908 IVD720908 JEZ720908 JOV720908 JYR720908 KIN720908 KSJ720908 LCF720908 LMB720908 LVX720908 MFT720908 MPP720908 MZL720908 NJH720908 NTD720908 OCZ720908 OMV720908 OWR720908 PGN720908 PQJ720908 QAF720908 QKB720908 QTX720908 RDT720908 RNP720908 RXL720908 SHH720908 SRD720908 TAZ720908 TKV720908 TUR720908 UEN720908 UOJ720908 UYF720908 VIB720908 VRX720908 WBT720908 WLP720908 WVL720908 D786444 IZ786444 SV786444 ACR786444 AMN786444 AWJ786444 BGF786444 BQB786444 BZX786444 CJT786444 CTP786444 DDL786444 DNH786444 DXD786444 EGZ786444 EQV786444 FAR786444 FKN786444 FUJ786444 GEF786444 GOB786444 GXX786444 HHT786444 HRP786444 IBL786444 ILH786444 IVD786444 JEZ786444 JOV786444 JYR786444 KIN786444 KSJ786444 LCF786444 LMB786444 LVX786444 MFT786444 MPP786444 MZL786444 NJH786444 NTD786444 OCZ786444 OMV786444 OWR786444 PGN786444 PQJ786444 QAF786444 QKB786444 QTX786444 RDT786444 RNP786444 RXL786444 SHH786444 SRD786444 TAZ786444 TKV786444 TUR786444 UEN786444 UOJ786444 UYF786444 VIB786444 VRX786444 WBT786444 WLP786444 WVL786444 D851980 IZ851980 SV851980 ACR851980 AMN851980 AWJ851980 BGF851980 BQB851980 BZX851980 CJT851980 CTP851980 DDL851980 DNH851980 DXD851980 EGZ851980 EQV851980 FAR851980 FKN851980 FUJ851980 GEF851980 GOB851980 GXX851980 HHT851980 HRP851980 IBL851980 ILH851980 IVD851980 JEZ851980 JOV851980 JYR851980 KIN851980 KSJ851980 LCF851980 LMB851980 LVX851980 MFT851980 MPP851980 MZL851980 NJH851980 NTD851980 OCZ851980 OMV851980 OWR851980 PGN851980 PQJ851980 QAF851980 QKB851980 QTX851980 RDT851980 RNP851980 RXL851980 SHH851980 SRD851980 TAZ851980 TKV851980 TUR851980 UEN851980 UOJ851980 UYF851980 VIB851980 VRX851980 WBT851980 WLP851980 WVL851980 D917516 IZ917516 SV917516 ACR917516 AMN917516 AWJ917516 BGF917516 BQB917516 BZX917516 CJT917516 CTP917516 DDL917516 DNH917516 DXD917516 EGZ917516 EQV917516 FAR917516 FKN917516 FUJ917516 GEF917516 GOB917516 GXX917516 HHT917516 HRP917516 IBL917516 ILH917516 IVD917516 JEZ917516 JOV917516 JYR917516 KIN917516 KSJ917516 LCF917516 LMB917516 LVX917516 MFT917516 MPP917516 MZL917516 NJH917516 NTD917516 OCZ917516 OMV917516 OWR917516 PGN917516 PQJ917516 QAF917516 QKB917516 QTX917516 RDT917516 RNP917516 RXL917516 SHH917516 SRD917516 TAZ917516 TKV917516 TUR917516 UEN917516 UOJ917516 UYF917516 VIB917516 VRX917516 WBT917516 WLP917516 WVL917516 D983052 IZ983052 SV983052 ACR983052 AMN983052 AWJ983052 BGF983052 BQB983052 BZX983052 CJT983052 CTP983052 DDL983052 DNH983052 DXD983052 EGZ983052 EQV983052 FAR983052 FKN983052 FUJ983052 GEF983052 GOB983052 GXX983052 HHT983052 HRP983052 IBL983052 ILH983052 IVD983052 JEZ983052 JOV983052 JYR983052 KIN983052 KSJ983052 LCF983052 LMB983052 LVX983052 MFT983052 MPP983052 MZL983052 NJH983052 NTD983052 OCZ983052 OMV983052 OWR983052 PGN983052 PQJ983052 QAF983052 QKB983052 QTX983052 RDT983052 RNP983052 RXL983052 SHH983052 SRD983052 TAZ983052 TKV983052 TUR983052 UEN983052 UOJ983052 UYF983052 VIB983052 VRX983052 WBT983052 WLP983052 WVL983052" xr:uid="{72E265B3-D05E-4E3E-8DC8-C9CE83B991A0}">
      <formula1>$B$106:$B$107</formula1>
    </dataValidation>
    <dataValidation type="list" allowBlank="1" showInputMessage="1" showErrorMessage="1" sqref="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xr:uid="{97DEAE5D-7B5A-4D94-B130-A173D448020E}">
      <formula1>$B$108:$B$110</formula1>
    </dataValidation>
  </dataValidations>
  <hyperlinks>
    <hyperlink ref="B46" r:id="rId1" xr:uid="{44813FE4-6A28-4A68-886F-219D93A87B47}"/>
    <hyperlink ref="B6" location="Index!A1" display="Index" xr:uid="{E6E51F69-FAE8-4FD3-AE32-E07DBC98D0F4}"/>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5121" r:id="rId5" name="CommandButton1">
          <controlPr defaultSize="0" autoLine="0" autoPict="0" r:id="rId6">
            <anchor moveWithCells="1">
              <from>
                <xdr:col>1</xdr:col>
                <xdr:colOff>38100</xdr:colOff>
                <xdr:row>4</xdr:row>
                <xdr:rowOff>139700</xdr:rowOff>
              </from>
              <to>
                <xdr:col>1</xdr:col>
                <xdr:colOff>1073150</xdr:colOff>
                <xdr:row>6</xdr:row>
                <xdr:rowOff>120650</xdr:rowOff>
              </to>
            </anchor>
          </controlPr>
        </control>
      </mc:Choice>
      <mc:Fallback>
        <control shapeId="5121" r:id="rId5"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F12B0-1631-46AC-A91E-A76A76BCE4B2}">
  <sheetPr codeName="Sheet33"/>
  <dimension ref="A1:L80"/>
  <sheetViews>
    <sheetView showGridLines="0" zoomScale="85" workbookViewId="0">
      <selection activeCell="O33" sqref="O33"/>
    </sheetView>
  </sheetViews>
  <sheetFormatPr defaultColWidth="9.08984375" defaultRowHeight="12.5" x14ac:dyDescent="0.25"/>
  <cols>
    <col min="1" max="1" width="1.453125" style="97" customWidth="1"/>
    <col min="2" max="2" width="31.6328125" style="97" customWidth="1"/>
    <col min="3" max="13" width="10.36328125" style="97" customWidth="1"/>
    <col min="14" max="16384" width="9.08984375" style="97"/>
  </cols>
  <sheetData>
    <row r="1" spans="1:4" s="144" customFormat="1" ht="15.5" x14ac:dyDescent="0.35">
      <c r="A1" s="146"/>
      <c r="B1" s="145" t="s">
        <v>109</v>
      </c>
    </row>
    <row r="3" spans="1:4" ht="13" x14ac:dyDescent="0.3">
      <c r="B3" s="143" t="s">
        <v>2</v>
      </c>
    </row>
    <row r="4" spans="1:4" ht="13" x14ac:dyDescent="0.3">
      <c r="B4" s="142" t="s">
        <v>3</v>
      </c>
      <c r="C4" s="142"/>
      <c r="D4" s="142"/>
    </row>
    <row r="5" spans="1:4" ht="13" x14ac:dyDescent="0.3">
      <c r="B5" s="80" t="s">
        <v>108</v>
      </c>
      <c r="C5" s="141"/>
      <c r="D5" s="140" t="s">
        <v>45</v>
      </c>
    </row>
    <row r="6" spans="1:4" ht="13" x14ac:dyDescent="0.3">
      <c r="B6" s="111" t="s">
        <v>107</v>
      </c>
      <c r="C6" s="139"/>
      <c r="D6" s="138">
        <v>44631</v>
      </c>
    </row>
    <row r="7" spans="1:4" ht="13" x14ac:dyDescent="0.3">
      <c r="B7" s="111" t="s">
        <v>106</v>
      </c>
      <c r="C7" s="139"/>
      <c r="D7" s="138">
        <v>44665</v>
      </c>
    </row>
    <row r="8" spans="1:4" x14ac:dyDescent="0.25">
      <c r="B8" s="111" t="s">
        <v>105</v>
      </c>
      <c r="D8" s="137">
        <v>92.69</v>
      </c>
    </row>
    <row r="9" spans="1:4" x14ac:dyDescent="0.25">
      <c r="B9" s="111" t="s">
        <v>11</v>
      </c>
      <c r="D9" s="136">
        <v>2.9999999999999997E-4</v>
      </c>
    </row>
    <row r="10" spans="1:4" ht="13" x14ac:dyDescent="0.3">
      <c r="B10" s="111"/>
      <c r="D10" s="128"/>
    </row>
    <row r="11" spans="1:4" ht="13" x14ac:dyDescent="0.3">
      <c r="B11" s="17" t="s">
        <v>104</v>
      </c>
      <c r="D11" s="128"/>
    </row>
    <row r="12" spans="1:4" x14ac:dyDescent="0.25">
      <c r="B12" s="111" t="s">
        <v>103</v>
      </c>
      <c r="D12" s="135" t="s">
        <v>81</v>
      </c>
    </row>
    <row r="13" spans="1:4" ht="13" x14ac:dyDescent="0.3">
      <c r="B13" s="111"/>
      <c r="D13" s="134"/>
    </row>
    <row r="14" spans="1:4" ht="13" x14ac:dyDescent="0.3">
      <c r="B14" s="111" t="s">
        <v>102</v>
      </c>
      <c r="C14" s="133" t="s">
        <v>101</v>
      </c>
      <c r="D14" s="115" t="s">
        <v>100</v>
      </c>
    </row>
    <row r="15" spans="1:4" x14ac:dyDescent="0.25">
      <c r="B15" s="132" t="s">
        <v>99</v>
      </c>
      <c r="C15" s="131"/>
      <c r="D15" s="130"/>
    </row>
    <row r="16" spans="1:4" x14ac:dyDescent="0.25">
      <c r="B16" s="132" t="s">
        <v>98</v>
      </c>
      <c r="C16" s="131"/>
      <c r="D16" s="130"/>
    </row>
    <row r="17" spans="2:12" ht="13" x14ac:dyDescent="0.3">
      <c r="B17" s="111"/>
      <c r="C17" s="129"/>
      <c r="D17" s="128"/>
    </row>
    <row r="18" spans="2:12" x14ac:dyDescent="0.25">
      <c r="B18" s="109" t="s">
        <v>97</v>
      </c>
      <c r="C18" s="108"/>
      <c r="D18" s="127"/>
    </row>
    <row r="19" spans="2:12" ht="13" x14ac:dyDescent="0.3">
      <c r="B19" s="126"/>
    </row>
    <row r="20" spans="2:12" ht="13" x14ac:dyDescent="0.3">
      <c r="B20" s="55" t="s">
        <v>96</v>
      </c>
      <c r="C20" s="125" t="s">
        <v>41</v>
      </c>
      <c r="D20" s="124" t="s">
        <v>40</v>
      </c>
      <c r="E20" s="123"/>
      <c r="F20" s="123"/>
      <c r="G20" s="123"/>
      <c r="H20" s="123"/>
      <c r="I20" s="123"/>
      <c r="J20" s="123"/>
      <c r="K20" s="123"/>
      <c r="L20" s="123"/>
    </row>
    <row r="21" spans="2:12" ht="13" x14ac:dyDescent="0.3">
      <c r="B21" s="80" t="s">
        <v>95</v>
      </c>
      <c r="C21" s="118" t="s">
        <v>45</v>
      </c>
      <c r="D21" s="122">
        <f>[3]!HoadleyFuturesPrice(C21,$D$6,$D$7,$D$8,$D$9,$D$12,$C$15:$D$16)</f>
        <v>92.692590277288645</v>
      </c>
      <c r="E21" s="121"/>
      <c r="F21" s="121"/>
      <c r="G21" s="121"/>
      <c r="H21" s="121"/>
      <c r="I21" s="121"/>
      <c r="J21" s="121"/>
      <c r="K21" s="121"/>
      <c r="L21" s="121"/>
    </row>
    <row r="22" spans="2:12" ht="13" x14ac:dyDescent="0.3">
      <c r="B22" s="111"/>
      <c r="C22" s="120"/>
      <c r="D22" s="119"/>
    </row>
    <row r="23" spans="2:12" x14ac:dyDescent="0.25">
      <c r="B23" s="109" t="s">
        <v>94</v>
      </c>
      <c r="C23" s="118" t="s">
        <v>93</v>
      </c>
      <c r="D23" s="117">
        <f>[3]!HoadleyFuturesPrice(C23,$D$6,$D$7,$D$8,,$D$12,$C$15:$D$16,$D$21)</f>
        <v>3.0000066831168852E-4</v>
      </c>
    </row>
    <row r="25" spans="2:12" ht="26" x14ac:dyDescent="0.3">
      <c r="B25" s="55" t="s">
        <v>92</v>
      </c>
      <c r="C25" s="116" t="s">
        <v>91</v>
      </c>
      <c r="D25" s="115" t="s">
        <v>40</v>
      </c>
    </row>
    <row r="26" spans="2:12" x14ac:dyDescent="0.25">
      <c r="B26" s="111" t="s">
        <v>90</v>
      </c>
      <c r="C26" s="113">
        <v>100</v>
      </c>
      <c r="D26" s="112"/>
    </row>
    <row r="27" spans="2:12" x14ac:dyDescent="0.25">
      <c r="B27" s="111" t="s">
        <v>89</v>
      </c>
      <c r="C27" s="114">
        <v>0.12</v>
      </c>
      <c r="D27" s="112"/>
    </row>
    <row r="28" spans="2:12" x14ac:dyDescent="0.25">
      <c r="B28" s="111" t="s">
        <v>88</v>
      </c>
      <c r="C28" s="113" t="s">
        <v>38</v>
      </c>
      <c r="D28" s="112"/>
    </row>
    <row r="29" spans="2:12" x14ac:dyDescent="0.25">
      <c r="B29" s="111" t="s">
        <v>87</v>
      </c>
      <c r="D29" s="110">
        <f>[3]!HoadleyOptions1("P",1,$C$28,$C$26,$D$8,$D$6,$D$7,$C$27,$D$9,$D$12,$C$15:$D$16)</f>
        <v>2.4638789834706021E-2</v>
      </c>
    </row>
    <row r="30" spans="2:12" ht="11.25" customHeight="1" x14ac:dyDescent="0.25">
      <c r="B30" s="109" t="s">
        <v>86</v>
      </c>
      <c r="C30" s="108"/>
      <c r="D30" s="107">
        <f>[3]!HoadleyOptions1("P",1,$C$28,$C$26,$D$21,$D$6,$D$7,$C$27,$D$9,"C",$D$9)</f>
        <v>2.4638789834705355E-2</v>
      </c>
    </row>
    <row r="31" spans="2:12" ht="11.25" customHeight="1" x14ac:dyDescent="0.25">
      <c r="B31" s="106" t="s">
        <v>85</v>
      </c>
      <c r="C31" s="105"/>
      <c r="D31" s="104"/>
    </row>
    <row r="32" spans="2:12" ht="11.25" customHeight="1" x14ac:dyDescent="0.25">
      <c r="B32" s="103" t="s">
        <v>84</v>
      </c>
      <c r="C32" s="102"/>
      <c r="D32" s="101"/>
    </row>
    <row r="33" spans="2:4" ht="11.25" customHeight="1" x14ac:dyDescent="0.25">
      <c r="B33" s="103" t="s">
        <v>83</v>
      </c>
      <c r="C33" s="102"/>
      <c r="D33" s="101"/>
    </row>
    <row r="34" spans="2:4" ht="11.25" customHeight="1" x14ac:dyDescent="0.25">
      <c r="B34" s="100" t="s">
        <v>82</v>
      </c>
      <c r="C34" s="99"/>
      <c r="D34" s="98"/>
    </row>
    <row r="35" spans="2:4" ht="11.25" customHeight="1" x14ac:dyDescent="0.25"/>
    <row r="76" spans="2:2" x14ac:dyDescent="0.25">
      <c r="B76" s="97" t="s">
        <v>38</v>
      </c>
    </row>
    <row r="77" spans="2:2" x14ac:dyDescent="0.25">
      <c r="B77" s="97" t="s">
        <v>45</v>
      </c>
    </row>
    <row r="78" spans="2:2" x14ac:dyDescent="0.25">
      <c r="B78" s="97" t="s">
        <v>81</v>
      </c>
    </row>
    <row r="79" spans="2:2" x14ac:dyDescent="0.25">
      <c r="B79" s="97" t="s">
        <v>38</v>
      </c>
    </row>
    <row r="80" spans="2:2" x14ac:dyDescent="0.25">
      <c r="B80" s="97" t="s">
        <v>48</v>
      </c>
    </row>
  </sheetData>
  <dataValidations count="2">
    <dataValidation type="list" allowBlank="1" showInputMessage="1" showErrorMessage="1" sqref="C28 IY28 SU28 ACQ28 AMM28 AWI28 BGE28 BQA28 BZW28 CJS28 CTO28 DDK28 DNG28 DXC28 EGY28 EQU28 FAQ28 FKM28 FUI28 GEE28 GOA28 GXW28 HHS28 HRO28 IBK28 ILG28 IVC28 JEY28 JOU28 JYQ28 KIM28 KSI28 LCE28 LMA28 LVW28 MFS28 MPO28 MZK28 NJG28 NTC28 OCY28 OMU28 OWQ28 PGM28 PQI28 QAE28 QKA28 QTW28 RDS28 RNO28 RXK28 SHG28 SRC28 TAY28 TKU28 TUQ28 UEM28 UOI28 UYE28 VIA28 VRW28 WBS28 WLO28 WVK28 C65563 IY65563 SU65563 ACQ65563 AMM65563 AWI65563 BGE65563 BQA65563 BZW65563 CJS65563 CTO65563 DDK65563 DNG65563 DXC65563 EGY65563 EQU65563 FAQ65563 FKM65563 FUI65563 GEE65563 GOA65563 GXW65563 HHS65563 HRO65563 IBK65563 ILG65563 IVC65563 JEY65563 JOU65563 JYQ65563 KIM65563 KSI65563 LCE65563 LMA65563 LVW65563 MFS65563 MPO65563 MZK65563 NJG65563 NTC65563 OCY65563 OMU65563 OWQ65563 PGM65563 PQI65563 QAE65563 QKA65563 QTW65563 RDS65563 RNO65563 RXK65563 SHG65563 SRC65563 TAY65563 TKU65563 TUQ65563 UEM65563 UOI65563 UYE65563 VIA65563 VRW65563 WBS65563 WLO65563 WVK65563 C131099 IY131099 SU131099 ACQ131099 AMM131099 AWI131099 BGE131099 BQA131099 BZW131099 CJS131099 CTO131099 DDK131099 DNG131099 DXC131099 EGY131099 EQU131099 FAQ131099 FKM131099 FUI131099 GEE131099 GOA131099 GXW131099 HHS131099 HRO131099 IBK131099 ILG131099 IVC131099 JEY131099 JOU131099 JYQ131099 KIM131099 KSI131099 LCE131099 LMA131099 LVW131099 MFS131099 MPO131099 MZK131099 NJG131099 NTC131099 OCY131099 OMU131099 OWQ131099 PGM131099 PQI131099 QAE131099 QKA131099 QTW131099 RDS131099 RNO131099 RXK131099 SHG131099 SRC131099 TAY131099 TKU131099 TUQ131099 UEM131099 UOI131099 UYE131099 VIA131099 VRW131099 WBS131099 WLO131099 WVK131099 C196635 IY196635 SU196635 ACQ196635 AMM196635 AWI196635 BGE196635 BQA196635 BZW196635 CJS196635 CTO196635 DDK196635 DNG196635 DXC196635 EGY196635 EQU196635 FAQ196635 FKM196635 FUI196635 GEE196635 GOA196635 GXW196635 HHS196635 HRO196635 IBK196635 ILG196635 IVC196635 JEY196635 JOU196635 JYQ196635 KIM196635 KSI196635 LCE196635 LMA196635 LVW196635 MFS196635 MPO196635 MZK196635 NJG196635 NTC196635 OCY196635 OMU196635 OWQ196635 PGM196635 PQI196635 QAE196635 QKA196635 QTW196635 RDS196635 RNO196635 RXK196635 SHG196635 SRC196635 TAY196635 TKU196635 TUQ196635 UEM196635 UOI196635 UYE196635 VIA196635 VRW196635 WBS196635 WLO196635 WVK196635 C262171 IY262171 SU262171 ACQ262171 AMM262171 AWI262171 BGE262171 BQA262171 BZW262171 CJS262171 CTO262171 DDK262171 DNG262171 DXC262171 EGY262171 EQU262171 FAQ262171 FKM262171 FUI262171 GEE262171 GOA262171 GXW262171 HHS262171 HRO262171 IBK262171 ILG262171 IVC262171 JEY262171 JOU262171 JYQ262171 KIM262171 KSI262171 LCE262171 LMA262171 LVW262171 MFS262171 MPO262171 MZK262171 NJG262171 NTC262171 OCY262171 OMU262171 OWQ262171 PGM262171 PQI262171 QAE262171 QKA262171 QTW262171 RDS262171 RNO262171 RXK262171 SHG262171 SRC262171 TAY262171 TKU262171 TUQ262171 UEM262171 UOI262171 UYE262171 VIA262171 VRW262171 WBS262171 WLO262171 WVK262171 C327707 IY327707 SU327707 ACQ327707 AMM327707 AWI327707 BGE327707 BQA327707 BZW327707 CJS327707 CTO327707 DDK327707 DNG327707 DXC327707 EGY327707 EQU327707 FAQ327707 FKM327707 FUI327707 GEE327707 GOA327707 GXW327707 HHS327707 HRO327707 IBK327707 ILG327707 IVC327707 JEY327707 JOU327707 JYQ327707 KIM327707 KSI327707 LCE327707 LMA327707 LVW327707 MFS327707 MPO327707 MZK327707 NJG327707 NTC327707 OCY327707 OMU327707 OWQ327707 PGM327707 PQI327707 QAE327707 QKA327707 QTW327707 RDS327707 RNO327707 RXK327707 SHG327707 SRC327707 TAY327707 TKU327707 TUQ327707 UEM327707 UOI327707 UYE327707 VIA327707 VRW327707 WBS327707 WLO327707 WVK327707 C393243 IY393243 SU393243 ACQ393243 AMM393243 AWI393243 BGE393243 BQA393243 BZW393243 CJS393243 CTO393243 DDK393243 DNG393243 DXC393243 EGY393243 EQU393243 FAQ393243 FKM393243 FUI393243 GEE393243 GOA393243 GXW393243 HHS393243 HRO393243 IBK393243 ILG393243 IVC393243 JEY393243 JOU393243 JYQ393243 KIM393243 KSI393243 LCE393243 LMA393243 LVW393243 MFS393243 MPO393243 MZK393243 NJG393243 NTC393243 OCY393243 OMU393243 OWQ393243 PGM393243 PQI393243 QAE393243 QKA393243 QTW393243 RDS393243 RNO393243 RXK393243 SHG393243 SRC393243 TAY393243 TKU393243 TUQ393243 UEM393243 UOI393243 UYE393243 VIA393243 VRW393243 WBS393243 WLO393243 WVK393243 C458779 IY458779 SU458779 ACQ458779 AMM458779 AWI458779 BGE458779 BQA458779 BZW458779 CJS458779 CTO458779 DDK458779 DNG458779 DXC458779 EGY458779 EQU458779 FAQ458779 FKM458779 FUI458779 GEE458779 GOA458779 GXW458779 HHS458779 HRO458779 IBK458779 ILG458779 IVC458779 JEY458779 JOU458779 JYQ458779 KIM458779 KSI458779 LCE458779 LMA458779 LVW458779 MFS458779 MPO458779 MZK458779 NJG458779 NTC458779 OCY458779 OMU458779 OWQ458779 PGM458779 PQI458779 QAE458779 QKA458779 QTW458779 RDS458779 RNO458779 RXK458779 SHG458779 SRC458779 TAY458779 TKU458779 TUQ458779 UEM458779 UOI458779 UYE458779 VIA458779 VRW458779 WBS458779 WLO458779 WVK458779 C524315 IY524315 SU524315 ACQ524315 AMM524315 AWI524315 BGE524315 BQA524315 BZW524315 CJS524315 CTO524315 DDK524315 DNG524315 DXC524315 EGY524315 EQU524315 FAQ524315 FKM524315 FUI524315 GEE524315 GOA524315 GXW524315 HHS524315 HRO524315 IBK524315 ILG524315 IVC524315 JEY524315 JOU524315 JYQ524315 KIM524315 KSI524315 LCE524315 LMA524315 LVW524315 MFS524315 MPO524315 MZK524315 NJG524315 NTC524315 OCY524315 OMU524315 OWQ524315 PGM524315 PQI524315 QAE524315 QKA524315 QTW524315 RDS524315 RNO524315 RXK524315 SHG524315 SRC524315 TAY524315 TKU524315 TUQ524315 UEM524315 UOI524315 UYE524315 VIA524315 VRW524315 WBS524315 WLO524315 WVK524315 C589851 IY589851 SU589851 ACQ589851 AMM589851 AWI589851 BGE589851 BQA589851 BZW589851 CJS589851 CTO589851 DDK589851 DNG589851 DXC589851 EGY589851 EQU589851 FAQ589851 FKM589851 FUI589851 GEE589851 GOA589851 GXW589851 HHS589851 HRO589851 IBK589851 ILG589851 IVC589851 JEY589851 JOU589851 JYQ589851 KIM589851 KSI589851 LCE589851 LMA589851 LVW589851 MFS589851 MPO589851 MZK589851 NJG589851 NTC589851 OCY589851 OMU589851 OWQ589851 PGM589851 PQI589851 QAE589851 QKA589851 QTW589851 RDS589851 RNO589851 RXK589851 SHG589851 SRC589851 TAY589851 TKU589851 TUQ589851 UEM589851 UOI589851 UYE589851 VIA589851 VRW589851 WBS589851 WLO589851 WVK589851 C655387 IY655387 SU655387 ACQ655387 AMM655387 AWI655387 BGE655387 BQA655387 BZW655387 CJS655387 CTO655387 DDK655387 DNG655387 DXC655387 EGY655387 EQU655387 FAQ655387 FKM655387 FUI655387 GEE655387 GOA655387 GXW655387 HHS655387 HRO655387 IBK655387 ILG655387 IVC655387 JEY655387 JOU655387 JYQ655387 KIM655387 KSI655387 LCE655387 LMA655387 LVW655387 MFS655387 MPO655387 MZK655387 NJG655387 NTC655387 OCY655387 OMU655387 OWQ655387 PGM655387 PQI655387 QAE655387 QKA655387 QTW655387 RDS655387 RNO655387 RXK655387 SHG655387 SRC655387 TAY655387 TKU655387 TUQ655387 UEM655387 UOI655387 UYE655387 VIA655387 VRW655387 WBS655387 WLO655387 WVK655387 C720923 IY720923 SU720923 ACQ720923 AMM720923 AWI720923 BGE720923 BQA720923 BZW720923 CJS720923 CTO720923 DDK720923 DNG720923 DXC720923 EGY720923 EQU720923 FAQ720923 FKM720923 FUI720923 GEE720923 GOA720923 GXW720923 HHS720923 HRO720923 IBK720923 ILG720923 IVC720923 JEY720923 JOU720923 JYQ720923 KIM720923 KSI720923 LCE720923 LMA720923 LVW720923 MFS720923 MPO720923 MZK720923 NJG720923 NTC720923 OCY720923 OMU720923 OWQ720923 PGM720923 PQI720923 QAE720923 QKA720923 QTW720923 RDS720923 RNO720923 RXK720923 SHG720923 SRC720923 TAY720923 TKU720923 TUQ720923 UEM720923 UOI720923 UYE720923 VIA720923 VRW720923 WBS720923 WLO720923 WVK720923 C786459 IY786459 SU786459 ACQ786459 AMM786459 AWI786459 BGE786459 BQA786459 BZW786459 CJS786459 CTO786459 DDK786459 DNG786459 DXC786459 EGY786459 EQU786459 FAQ786459 FKM786459 FUI786459 GEE786459 GOA786459 GXW786459 HHS786459 HRO786459 IBK786459 ILG786459 IVC786459 JEY786459 JOU786459 JYQ786459 KIM786459 KSI786459 LCE786459 LMA786459 LVW786459 MFS786459 MPO786459 MZK786459 NJG786459 NTC786459 OCY786459 OMU786459 OWQ786459 PGM786459 PQI786459 QAE786459 QKA786459 QTW786459 RDS786459 RNO786459 RXK786459 SHG786459 SRC786459 TAY786459 TKU786459 TUQ786459 UEM786459 UOI786459 UYE786459 VIA786459 VRW786459 WBS786459 WLO786459 WVK786459 C851995 IY851995 SU851995 ACQ851995 AMM851995 AWI851995 BGE851995 BQA851995 BZW851995 CJS851995 CTO851995 DDK851995 DNG851995 DXC851995 EGY851995 EQU851995 FAQ851995 FKM851995 FUI851995 GEE851995 GOA851995 GXW851995 HHS851995 HRO851995 IBK851995 ILG851995 IVC851995 JEY851995 JOU851995 JYQ851995 KIM851995 KSI851995 LCE851995 LMA851995 LVW851995 MFS851995 MPO851995 MZK851995 NJG851995 NTC851995 OCY851995 OMU851995 OWQ851995 PGM851995 PQI851995 QAE851995 QKA851995 QTW851995 RDS851995 RNO851995 RXK851995 SHG851995 SRC851995 TAY851995 TKU851995 TUQ851995 UEM851995 UOI851995 UYE851995 VIA851995 VRW851995 WBS851995 WLO851995 WVK851995 C917531 IY917531 SU917531 ACQ917531 AMM917531 AWI917531 BGE917531 BQA917531 BZW917531 CJS917531 CTO917531 DDK917531 DNG917531 DXC917531 EGY917531 EQU917531 FAQ917531 FKM917531 FUI917531 GEE917531 GOA917531 GXW917531 HHS917531 HRO917531 IBK917531 ILG917531 IVC917531 JEY917531 JOU917531 JYQ917531 KIM917531 KSI917531 LCE917531 LMA917531 LVW917531 MFS917531 MPO917531 MZK917531 NJG917531 NTC917531 OCY917531 OMU917531 OWQ917531 PGM917531 PQI917531 QAE917531 QKA917531 QTW917531 RDS917531 RNO917531 RXK917531 SHG917531 SRC917531 TAY917531 TKU917531 TUQ917531 UEM917531 UOI917531 UYE917531 VIA917531 VRW917531 WBS917531 WLO917531 WVK917531 C983067 IY983067 SU983067 ACQ983067 AMM983067 AWI983067 BGE983067 BQA983067 BZW983067 CJS983067 CTO983067 DDK983067 DNG983067 DXC983067 EGY983067 EQU983067 FAQ983067 FKM983067 FUI983067 GEE983067 GOA983067 GXW983067 HHS983067 HRO983067 IBK983067 ILG983067 IVC983067 JEY983067 JOU983067 JYQ983067 KIM983067 KSI983067 LCE983067 LMA983067 LVW983067 MFS983067 MPO983067 MZK983067 NJG983067 NTC983067 OCY983067 OMU983067 OWQ983067 PGM983067 PQI983067 QAE983067 QKA983067 QTW983067 RDS983067 RNO983067 RXK983067 SHG983067 SRC983067 TAY983067 TKU983067 TUQ983067 UEM983067 UOI983067 UYE983067 VIA983067 VRW983067 WBS983067 WLO983067 WVK983067" xr:uid="{3AEB08A2-99CF-454E-A17B-483FBCD9B0B6}">
      <formula1>$B$76:$B$77</formula1>
    </dataValidation>
    <dataValidation type="list" allowBlank="1" showInputMessage="1" showErrorMessage="1" sqref="D12 IZ12 SV12 ACR12 AMN12 AWJ12 BGF12 BQB12 BZX12 CJT12 CTP12 DDL12 DNH12 DXD12 EGZ12 EQV12 FAR12 FKN12 FUJ12 GEF12 GOB12 GXX12 HHT12 HRP12 IBL12 ILH12 IVD12 JEZ12 JOV12 JYR12 KIN12 KSJ12 LCF12 LMB12 LVX12 MFT12 MPP12 MZL12 NJH12 NTD12 OCZ12 OMV12 OWR12 PGN12 PQJ12 QAF12 QKB12 QTX12 RDT12 RNP12 RXL12 SHH12 SRD12 TAZ12 TKV12 TUR12 UEN12 UOJ12 UYF12 VIB12 VRX12 WBT12 WLP12 WVL12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xr:uid="{D1E4117D-B9CE-4887-8FEA-0C8C12DECA8D}">
      <formula1>$B$78:$B$80</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4097" r:id="rId4" name="CommandButton1">
          <controlPr defaultSize="0" autoLine="0" r:id="rId5">
            <anchor moveWithCells="1">
              <from>
                <xdr:col>1</xdr:col>
                <xdr:colOff>25400</xdr:colOff>
                <xdr:row>1</xdr:row>
                <xdr:rowOff>0</xdr:rowOff>
              </from>
              <to>
                <xdr:col>1</xdr:col>
                <xdr:colOff>1060450</xdr:colOff>
                <xdr:row>2</xdr:row>
                <xdr:rowOff>152400</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3C6DB-95C1-4CB0-8A50-6C5DD967AEC7}">
  <sheetPr codeName="Sheet146"/>
  <dimension ref="A1:DA84"/>
  <sheetViews>
    <sheetView zoomScale="85" zoomScaleNormal="85" workbookViewId="0">
      <selection activeCell="P33" sqref="P33"/>
    </sheetView>
  </sheetViews>
  <sheetFormatPr defaultColWidth="9.08984375" defaultRowHeight="12.5" x14ac:dyDescent="0.25"/>
  <cols>
    <col min="1" max="1" width="1.453125" style="1" customWidth="1"/>
    <col min="2" max="2" width="25.6328125" style="1" customWidth="1"/>
    <col min="3" max="9" width="8.1796875" style="1" bestFit="1" customWidth="1"/>
    <col min="10" max="10" width="8.54296875" style="1" customWidth="1"/>
    <col min="11" max="17" width="8.1796875" style="1" bestFit="1" customWidth="1"/>
    <col min="18" max="18" width="8.36328125" style="1" customWidth="1"/>
    <col min="19" max="25" width="8.1796875" style="1" bestFit="1" customWidth="1"/>
    <col min="26" max="256" width="9.08984375" style="1"/>
    <col min="257" max="257" width="1.453125" style="1" customWidth="1"/>
    <col min="258" max="258" width="25.6328125" style="1" customWidth="1"/>
    <col min="259" max="280" width="7.453125" style="1" customWidth="1"/>
    <col min="281" max="512" width="9.08984375" style="1"/>
    <col min="513" max="513" width="1.453125" style="1" customWidth="1"/>
    <col min="514" max="514" width="25.6328125" style="1" customWidth="1"/>
    <col min="515" max="536" width="7.453125" style="1" customWidth="1"/>
    <col min="537" max="768" width="9.08984375" style="1"/>
    <col min="769" max="769" width="1.453125" style="1" customWidth="1"/>
    <col min="770" max="770" width="25.6328125" style="1" customWidth="1"/>
    <col min="771" max="792" width="7.453125" style="1" customWidth="1"/>
    <col min="793" max="1024" width="9.08984375" style="1"/>
    <col min="1025" max="1025" width="1.453125" style="1" customWidth="1"/>
    <col min="1026" max="1026" width="25.6328125" style="1" customWidth="1"/>
    <col min="1027" max="1048" width="7.453125" style="1" customWidth="1"/>
    <col min="1049" max="1280" width="9.08984375" style="1"/>
    <col min="1281" max="1281" width="1.453125" style="1" customWidth="1"/>
    <col min="1282" max="1282" width="25.6328125" style="1" customWidth="1"/>
    <col min="1283" max="1304" width="7.453125" style="1" customWidth="1"/>
    <col min="1305" max="1536" width="9.08984375" style="1"/>
    <col min="1537" max="1537" width="1.453125" style="1" customWidth="1"/>
    <col min="1538" max="1538" width="25.6328125" style="1" customWidth="1"/>
    <col min="1539" max="1560" width="7.453125" style="1" customWidth="1"/>
    <col min="1561" max="1792" width="9.08984375" style="1"/>
    <col min="1793" max="1793" width="1.453125" style="1" customWidth="1"/>
    <col min="1794" max="1794" width="25.6328125" style="1" customWidth="1"/>
    <col min="1795" max="1816" width="7.453125" style="1" customWidth="1"/>
    <col min="1817" max="2048" width="9.08984375" style="1"/>
    <col min="2049" max="2049" width="1.453125" style="1" customWidth="1"/>
    <col min="2050" max="2050" width="25.6328125" style="1" customWidth="1"/>
    <col min="2051" max="2072" width="7.453125" style="1" customWidth="1"/>
    <col min="2073" max="2304" width="9.08984375" style="1"/>
    <col min="2305" max="2305" width="1.453125" style="1" customWidth="1"/>
    <col min="2306" max="2306" width="25.6328125" style="1" customWidth="1"/>
    <col min="2307" max="2328" width="7.453125" style="1" customWidth="1"/>
    <col min="2329" max="2560" width="9.08984375" style="1"/>
    <col min="2561" max="2561" width="1.453125" style="1" customWidth="1"/>
    <col min="2562" max="2562" width="25.6328125" style="1" customWidth="1"/>
    <col min="2563" max="2584" width="7.453125" style="1" customWidth="1"/>
    <col min="2585" max="2816" width="9.08984375" style="1"/>
    <col min="2817" max="2817" width="1.453125" style="1" customWidth="1"/>
    <col min="2818" max="2818" width="25.6328125" style="1" customWidth="1"/>
    <col min="2819" max="2840" width="7.453125" style="1" customWidth="1"/>
    <col min="2841" max="3072" width="9.08984375" style="1"/>
    <col min="3073" max="3073" width="1.453125" style="1" customWidth="1"/>
    <col min="3074" max="3074" width="25.6328125" style="1" customWidth="1"/>
    <col min="3075" max="3096" width="7.453125" style="1" customWidth="1"/>
    <col min="3097" max="3328" width="9.08984375" style="1"/>
    <col min="3329" max="3329" width="1.453125" style="1" customWidth="1"/>
    <col min="3330" max="3330" width="25.6328125" style="1" customWidth="1"/>
    <col min="3331" max="3352" width="7.453125" style="1" customWidth="1"/>
    <col min="3353" max="3584" width="9.08984375" style="1"/>
    <col min="3585" max="3585" width="1.453125" style="1" customWidth="1"/>
    <col min="3586" max="3586" width="25.6328125" style="1" customWidth="1"/>
    <col min="3587" max="3608" width="7.453125" style="1" customWidth="1"/>
    <col min="3609" max="3840" width="9.08984375" style="1"/>
    <col min="3841" max="3841" width="1.453125" style="1" customWidth="1"/>
    <col min="3842" max="3842" width="25.6328125" style="1" customWidth="1"/>
    <col min="3843" max="3864" width="7.453125" style="1" customWidth="1"/>
    <col min="3865" max="4096" width="9.08984375" style="1"/>
    <col min="4097" max="4097" width="1.453125" style="1" customWidth="1"/>
    <col min="4098" max="4098" width="25.6328125" style="1" customWidth="1"/>
    <col min="4099" max="4120" width="7.453125" style="1" customWidth="1"/>
    <col min="4121" max="4352" width="9.08984375" style="1"/>
    <col min="4353" max="4353" width="1.453125" style="1" customWidth="1"/>
    <col min="4354" max="4354" width="25.6328125" style="1" customWidth="1"/>
    <col min="4355" max="4376" width="7.453125" style="1" customWidth="1"/>
    <col min="4377" max="4608" width="9.08984375" style="1"/>
    <col min="4609" max="4609" width="1.453125" style="1" customWidth="1"/>
    <col min="4610" max="4610" width="25.6328125" style="1" customWidth="1"/>
    <col min="4611" max="4632" width="7.453125" style="1" customWidth="1"/>
    <col min="4633" max="4864" width="9.08984375" style="1"/>
    <col min="4865" max="4865" width="1.453125" style="1" customWidth="1"/>
    <col min="4866" max="4866" width="25.6328125" style="1" customWidth="1"/>
    <col min="4867" max="4888" width="7.453125" style="1" customWidth="1"/>
    <col min="4889" max="5120" width="9.08984375" style="1"/>
    <col min="5121" max="5121" width="1.453125" style="1" customWidth="1"/>
    <col min="5122" max="5122" width="25.6328125" style="1" customWidth="1"/>
    <col min="5123" max="5144" width="7.453125" style="1" customWidth="1"/>
    <col min="5145" max="5376" width="9.08984375" style="1"/>
    <col min="5377" max="5377" width="1.453125" style="1" customWidth="1"/>
    <col min="5378" max="5378" width="25.6328125" style="1" customWidth="1"/>
    <col min="5379" max="5400" width="7.453125" style="1" customWidth="1"/>
    <col min="5401" max="5632" width="9.08984375" style="1"/>
    <col min="5633" max="5633" width="1.453125" style="1" customWidth="1"/>
    <col min="5634" max="5634" width="25.6328125" style="1" customWidth="1"/>
    <col min="5635" max="5656" width="7.453125" style="1" customWidth="1"/>
    <col min="5657" max="5888" width="9.08984375" style="1"/>
    <col min="5889" max="5889" width="1.453125" style="1" customWidth="1"/>
    <col min="5890" max="5890" width="25.6328125" style="1" customWidth="1"/>
    <col min="5891" max="5912" width="7.453125" style="1" customWidth="1"/>
    <col min="5913" max="6144" width="9.08984375" style="1"/>
    <col min="6145" max="6145" width="1.453125" style="1" customWidth="1"/>
    <col min="6146" max="6146" width="25.6328125" style="1" customWidth="1"/>
    <col min="6147" max="6168" width="7.453125" style="1" customWidth="1"/>
    <col min="6169" max="6400" width="9.08984375" style="1"/>
    <col min="6401" max="6401" width="1.453125" style="1" customWidth="1"/>
    <col min="6402" max="6402" width="25.6328125" style="1" customWidth="1"/>
    <col min="6403" max="6424" width="7.453125" style="1" customWidth="1"/>
    <col min="6425" max="6656" width="9.08984375" style="1"/>
    <col min="6657" max="6657" width="1.453125" style="1" customWidth="1"/>
    <col min="6658" max="6658" width="25.6328125" style="1" customWidth="1"/>
    <col min="6659" max="6680" width="7.453125" style="1" customWidth="1"/>
    <col min="6681" max="6912" width="9.08984375" style="1"/>
    <col min="6913" max="6913" width="1.453125" style="1" customWidth="1"/>
    <col min="6914" max="6914" width="25.6328125" style="1" customWidth="1"/>
    <col min="6915" max="6936" width="7.453125" style="1" customWidth="1"/>
    <col min="6937" max="7168" width="9.08984375" style="1"/>
    <col min="7169" max="7169" width="1.453125" style="1" customWidth="1"/>
    <col min="7170" max="7170" width="25.6328125" style="1" customWidth="1"/>
    <col min="7171" max="7192" width="7.453125" style="1" customWidth="1"/>
    <col min="7193" max="7424" width="9.08984375" style="1"/>
    <col min="7425" max="7425" width="1.453125" style="1" customWidth="1"/>
    <col min="7426" max="7426" width="25.6328125" style="1" customWidth="1"/>
    <col min="7427" max="7448" width="7.453125" style="1" customWidth="1"/>
    <col min="7449" max="7680" width="9.08984375" style="1"/>
    <col min="7681" max="7681" width="1.453125" style="1" customWidth="1"/>
    <col min="7682" max="7682" width="25.6328125" style="1" customWidth="1"/>
    <col min="7683" max="7704" width="7.453125" style="1" customWidth="1"/>
    <col min="7705" max="7936" width="9.08984375" style="1"/>
    <col min="7937" max="7937" width="1.453125" style="1" customWidth="1"/>
    <col min="7938" max="7938" width="25.6328125" style="1" customWidth="1"/>
    <col min="7939" max="7960" width="7.453125" style="1" customWidth="1"/>
    <col min="7961" max="8192" width="9.08984375" style="1"/>
    <col min="8193" max="8193" width="1.453125" style="1" customWidth="1"/>
    <col min="8194" max="8194" width="25.6328125" style="1" customWidth="1"/>
    <col min="8195" max="8216" width="7.453125" style="1" customWidth="1"/>
    <col min="8217" max="8448" width="9.08984375" style="1"/>
    <col min="8449" max="8449" width="1.453125" style="1" customWidth="1"/>
    <col min="8450" max="8450" width="25.6328125" style="1" customWidth="1"/>
    <col min="8451" max="8472" width="7.453125" style="1" customWidth="1"/>
    <col min="8473" max="8704" width="9.08984375" style="1"/>
    <col min="8705" max="8705" width="1.453125" style="1" customWidth="1"/>
    <col min="8706" max="8706" width="25.6328125" style="1" customWidth="1"/>
    <col min="8707" max="8728" width="7.453125" style="1" customWidth="1"/>
    <col min="8729" max="8960" width="9.08984375" style="1"/>
    <col min="8961" max="8961" width="1.453125" style="1" customWidth="1"/>
    <col min="8962" max="8962" width="25.6328125" style="1" customWidth="1"/>
    <col min="8963" max="8984" width="7.453125" style="1" customWidth="1"/>
    <col min="8985" max="9216" width="9.08984375" style="1"/>
    <col min="9217" max="9217" width="1.453125" style="1" customWidth="1"/>
    <col min="9218" max="9218" width="25.6328125" style="1" customWidth="1"/>
    <col min="9219" max="9240" width="7.453125" style="1" customWidth="1"/>
    <col min="9241" max="9472" width="9.08984375" style="1"/>
    <col min="9473" max="9473" width="1.453125" style="1" customWidth="1"/>
    <col min="9474" max="9474" width="25.6328125" style="1" customWidth="1"/>
    <col min="9475" max="9496" width="7.453125" style="1" customWidth="1"/>
    <col min="9497" max="9728" width="9.08984375" style="1"/>
    <col min="9729" max="9729" width="1.453125" style="1" customWidth="1"/>
    <col min="9730" max="9730" width="25.6328125" style="1" customWidth="1"/>
    <col min="9731" max="9752" width="7.453125" style="1" customWidth="1"/>
    <col min="9753" max="9984" width="9.08984375" style="1"/>
    <col min="9985" max="9985" width="1.453125" style="1" customWidth="1"/>
    <col min="9986" max="9986" width="25.6328125" style="1" customWidth="1"/>
    <col min="9987" max="10008" width="7.453125" style="1" customWidth="1"/>
    <col min="10009" max="10240" width="9.08984375" style="1"/>
    <col min="10241" max="10241" width="1.453125" style="1" customWidth="1"/>
    <col min="10242" max="10242" width="25.6328125" style="1" customWidth="1"/>
    <col min="10243" max="10264" width="7.453125" style="1" customWidth="1"/>
    <col min="10265" max="10496" width="9.08984375" style="1"/>
    <col min="10497" max="10497" width="1.453125" style="1" customWidth="1"/>
    <col min="10498" max="10498" width="25.6328125" style="1" customWidth="1"/>
    <col min="10499" max="10520" width="7.453125" style="1" customWidth="1"/>
    <col min="10521" max="10752" width="9.08984375" style="1"/>
    <col min="10753" max="10753" width="1.453125" style="1" customWidth="1"/>
    <col min="10754" max="10754" width="25.6328125" style="1" customWidth="1"/>
    <col min="10755" max="10776" width="7.453125" style="1" customWidth="1"/>
    <col min="10777" max="11008" width="9.08984375" style="1"/>
    <col min="11009" max="11009" width="1.453125" style="1" customWidth="1"/>
    <col min="11010" max="11010" width="25.6328125" style="1" customWidth="1"/>
    <col min="11011" max="11032" width="7.453125" style="1" customWidth="1"/>
    <col min="11033" max="11264" width="9.08984375" style="1"/>
    <col min="11265" max="11265" width="1.453125" style="1" customWidth="1"/>
    <col min="11266" max="11266" width="25.6328125" style="1" customWidth="1"/>
    <col min="11267" max="11288" width="7.453125" style="1" customWidth="1"/>
    <col min="11289" max="11520" width="9.08984375" style="1"/>
    <col min="11521" max="11521" width="1.453125" style="1" customWidth="1"/>
    <col min="11522" max="11522" width="25.6328125" style="1" customWidth="1"/>
    <col min="11523" max="11544" width="7.453125" style="1" customWidth="1"/>
    <col min="11545" max="11776" width="9.08984375" style="1"/>
    <col min="11777" max="11777" width="1.453125" style="1" customWidth="1"/>
    <col min="11778" max="11778" width="25.6328125" style="1" customWidth="1"/>
    <col min="11779" max="11800" width="7.453125" style="1" customWidth="1"/>
    <col min="11801" max="12032" width="9.08984375" style="1"/>
    <col min="12033" max="12033" width="1.453125" style="1" customWidth="1"/>
    <col min="12034" max="12034" width="25.6328125" style="1" customWidth="1"/>
    <col min="12035" max="12056" width="7.453125" style="1" customWidth="1"/>
    <col min="12057" max="12288" width="9.08984375" style="1"/>
    <col min="12289" max="12289" width="1.453125" style="1" customWidth="1"/>
    <col min="12290" max="12290" width="25.6328125" style="1" customWidth="1"/>
    <col min="12291" max="12312" width="7.453125" style="1" customWidth="1"/>
    <col min="12313" max="12544" width="9.08984375" style="1"/>
    <col min="12545" max="12545" width="1.453125" style="1" customWidth="1"/>
    <col min="12546" max="12546" width="25.6328125" style="1" customWidth="1"/>
    <col min="12547" max="12568" width="7.453125" style="1" customWidth="1"/>
    <col min="12569" max="12800" width="9.08984375" style="1"/>
    <col min="12801" max="12801" width="1.453125" style="1" customWidth="1"/>
    <col min="12802" max="12802" width="25.6328125" style="1" customWidth="1"/>
    <col min="12803" max="12824" width="7.453125" style="1" customWidth="1"/>
    <col min="12825" max="13056" width="9.08984375" style="1"/>
    <col min="13057" max="13057" width="1.453125" style="1" customWidth="1"/>
    <col min="13058" max="13058" width="25.6328125" style="1" customWidth="1"/>
    <col min="13059" max="13080" width="7.453125" style="1" customWidth="1"/>
    <col min="13081" max="13312" width="9.08984375" style="1"/>
    <col min="13313" max="13313" width="1.453125" style="1" customWidth="1"/>
    <col min="13314" max="13314" width="25.6328125" style="1" customWidth="1"/>
    <col min="13315" max="13336" width="7.453125" style="1" customWidth="1"/>
    <col min="13337" max="13568" width="9.08984375" style="1"/>
    <col min="13569" max="13569" width="1.453125" style="1" customWidth="1"/>
    <col min="13570" max="13570" width="25.6328125" style="1" customWidth="1"/>
    <col min="13571" max="13592" width="7.453125" style="1" customWidth="1"/>
    <col min="13593" max="13824" width="9.08984375" style="1"/>
    <col min="13825" max="13825" width="1.453125" style="1" customWidth="1"/>
    <col min="13826" max="13826" width="25.6328125" style="1" customWidth="1"/>
    <col min="13827" max="13848" width="7.453125" style="1" customWidth="1"/>
    <col min="13849" max="14080" width="9.08984375" style="1"/>
    <col min="14081" max="14081" width="1.453125" style="1" customWidth="1"/>
    <col min="14082" max="14082" width="25.6328125" style="1" customWidth="1"/>
    <col min="14083" max="14104" width="7.453125" style="1" customWidth="1"/>
    <col min="14105" max="14336" width="9.08984375" style="1"/>
    <col min="14337" max="14337" width="1.453125" style="1" customWidth="1"/>
    <col min="14338" max="14338" width="25.6328125" style="1" customWidth="1"/>
    <col min="14339" max="14360" width="7.453125" style="1" customWidth="1"/>
    <col min="14361" max="14592" width="9.08984375" style="1"/>
    <col min="14593" max="14593" width="1.453125" style="1" customWidth="1"/>
    <col min="14594" max="14594" width="25.6328125" style="1" customWidth="1"/>
    <col min="14595" max="14616" width="7.453125" style="1" customWidth="1"/>
    <col min="14617" max="14848" width="9.08984375" style="1"/>
    <col min="14849" max="14849" width="1.453125" style="1" customWidth="1"/>
    <col min="14850" max="14850" width="25.6328125" style="1" customWidth="1"/>
    <col min="14851" max="14872" width="7.453125" style="1" customWidth="1"/>
    <col min="14873" max="15104" width="9.08984375" style="1"/>
    <col min="15105" max="15105" width="1.453125" style="1" customWidth="1"/>
    <col min="15106" max="15106" width="25.6328125" style="1" customWidth="1"/>
    <col min="15107" max="15128" width="7.453125" style="1" customWidth="1"/>
    <col min="15129" max="15360" width="9.08984375" style="1"/>
    <col min="15361" max="15361" width="1.453125" style="1" customWidth="1"/>
    <col min="15362" max="15362" width="25.6328125" style="1" customWidth="1"/>
    <col min="15363" max="15384" width="7.453125" style="1" customWidth="1"/>
    <col min="15385" max="15616" width="9.08984375" style="1"/>
    <col min="15617" max="15617" width="1.453125" style="1" customWidth="1"/>
    <col min="15618" max="15618" width="25.6328125" style="1" customWidth="1"/>
    <col min="15619" max="15640" width="7.453125" style="1" customWidth="1"/>
    <col min="15641" max="15872" width="9.08984375" style="1"/>
    <col min="15873" max="15873" width="1.453125" style="1" customWidth="1"/>
    <col min="15874" max="15874" width="25.6328125" style="1" customWidth="1"/>
    <col min="15875" max="15896" width="7.453125" style="1" customWidth="1"/>
    <col min="15897" max="16128" width="9.08984375" style="1"/>
    <col min="16129" max="16129" width="1.453125" style="1" customWidth="1"/>
    <col min="16130" max="16130" width="25.6328125" style="1" customWidth="1"/>
    <col min="16131" max="16152" width="7.453125" style="1" customWidth="1"/>
    <col min="16153" max="16384" width="9.08984375" style="1"/>
  </cols>
  <sheetData>
    <row r="1" spans="1:4" s="3" customFormat="1" ht="15.5" x14ac:dyDescent="0.35">
      <c r="A1" s="1"/>
      <c r="B1" s="2" t="s">
        <v>68</v>
      </c>
    </row>
    <row r="3" spans="1:4" ht="13" x14ac:dyDescent="0.3">
      <c r="B3" s="54" t="s">
        <v>2</v>
      </c>
    </row>
    <row r="4" spans="1:4" ht="13" x14ac:dyDescent="0.3">
      <c r="B4" s="55" t="s">
        <v>3</v>
      </c>
      <c r="C4" s="56"/>
      <c r="D4" s="57"/>
    </row>
    <row r="5" spans="1:4" x14ac:dyDescent="0.25">
      <c r="B5" s="9" t="s">
        <v>4</v>
      </c>
      <c r="D5" s="10" t="s">
        <v>5</v>
      </c>
    </row>
    <row r="6" spans="1:4" x14ac:dyDescent="0.25">
      <c r="B6" s="9" t="s">
        <v>30</v>
      </c>
      <c r="D6" s="11"/>
    </row>
    <row r="7" spans="1:4" x14ac:dyDescent="0.25">
      <c r="B7" s="9" t="s">
        <v>8</v>
      </c>
      <c r="D7" s="58">
        <f>'13 SABROption'!D8</f>
        <v>4.6399999999999997</v>
      </c>
    </row>
    <row r="8" spans="1:4" x14ac:dyDescent="0.25">
      <c r="B8" s="9" t="s">
        <v>9</v>
      </c>
      <c r="D8" s="12">
        <f ca="1">'13 SABROption'!D9</f>
        <v>26.399998799999999</v>
      </c>
    </row>
    <row r="9" spans="1:4" x14ac:dyDescent="0.25">
      <c r="B9" s="9" t="s">
        <v>10</v>
      </c>
      <c r="D9" s="59">
        <f>'13 SABROption'!D10</f>
        <v>1.56</v>
      </c>
    </row>
    <row r="10" spans="1:4" x14ac:dyDescent="0.25">
      <c r="B10" s="9" t="s">
        <v>11</v>
      </c>
      <c r="D10" s="13">
        <v>0.04</v>
      </c>
    </row>
    <row r="11" spans="1:4" x14ac:dyDescent="0.25">
      <c r="B11" s="9" t="s">
        <v>12</v>
      </c>
      <c r="D11" s="12">
        <f>'13 SABROption'!D12</f>
        <v>1.27</v>
      </c>
    </row>
    <row r="12" spans="1:4" x14ac:dyDescent="0.25">
      <c r="B12" s="9" t="s">
        <v>18</v>
      </c>
      <c r="D12" s="59">
        <f ca="1">'13 SABROption'!D13</f>
        <v>2.6411800000000185</v>
      </c>
    </row>
    <row r="13" spans="1:4" x14ac:dyDescent="0.25">
      <c r="B13" s="9" t="s">
        <v>19</v>
      </c>
      <c r="D13" s="12">
        <f ca="1">'13 SABROption'!D14</f>
        <v>-8.0870000000000095E-2</v>
      </c>
    </row>
    <row r="14" spans="1:4" x14ac:dyDescent="0.25">
      <c r="B14" s="15"/>
      <c r="D14" s="16"/>
    </row>
    <row r="15" spans="1:4" ht="13" x14ac:dyDescent="0.3">
      <c r="B15" s="17" t="s">
        <v>13</v>
      </c>
      <c r="D15" s="16"/>
    </row>
    <row r="16" spans="1:4" x14ac:dyDescent="0.25">
      <c r="B16" s="18" t="s">
        <v>14</v>
      </c>
      <c r="C16" s="19"/>
      <c r="D16" s="13">
        <f>'13 SABROption'!D17</f>
        <v>0</v>
      </c>
    </row>
    <row r="25" spans="2:105" ht="13" x14ac:dyDescent="0.3">
      <c r="B25" s="55" t="s">
        <v>69</v>
      </c>
      <c r="C25" s="56"/>
      <c r="D25" s="79"/>
      <c r="E25" s="56"/>
      <c r="F25" s="56"/>
      <c r="G25" s="56"/>
      <c r="H25" s="56"/>
      <c r="I25" s="56"/>
      <c r="J25" s="56"/>
      <c r="K25" s="56"/>
      <c r="L25" s="56"/>
      <c r="M25" s="56"/>
      <c r="N25" s="56"/>
      <c r="O25" s="56"/>
      <c r="P25" s="56"/>
      <c r="Q25" s="56"/>
      <c r="R25" s="56"/>
      <c r="S25" s="56"/>
      <c r="T25" s="56"/>
      <c r="U25" s="56"/>
      <c r="V25" s="56"/>
      <c r="W25" s="56"/>
      <c r="X25" s="57"/>
    </row>
    <row r="26" spans="2:105" x14ac:dyDescent="0.25">
      <c r="B26" s="80" t="s">
        <v>70</v>
      </c>
      <c r="C26" s="81">
        <v>1</v>
      </c>
      <c r="D26" s="82"/>
      <c r="E26" s="82"/>
      <c r="F26" s="82"/>
      <c r="G26" s="82"/>
      <c r="H26" s="82"/>
      <c r="K26" s="23"/>
      <c r="L26" s="82"/>
      <c r="M26" s="82"/>
      <c r="N26" s="82"/>
      <c r="O26" s="82"/>
      <c r="P26" s="82"/>
      <c r="Q26" s="82"/>
      <c r="R26" s="82"/>
      <c r="S26" s="82"/>
      <c r="T26" s="82"/>
      <c r="U26" s="82"/>
      <c r="V26" s="82"/>
      <c r="W26" s="82"/>
      <c r="X26" s="83"/>
    </row>
    <row r="27" spans="2:105" x14ac:dyDescent="0.25">
      <c r="B27" s="84" t="s">
        <v>71</v>
      </c>
      <c r="C27" s="85">
        <v>2</v>
      </c>
      <c r="D27" s="85">
        <f>C27+$C$26</f>
        <v>3</v>
      </c>
      <c r="E27" s="85">
        <f t="shared" ref="E27:BP27" si="0">D27+$C$26</f>
        <v>4</v>
      </c>
      <c r="F27" s="85">
        <f t="shared" si="0"/>
        <v>5</v>
      </c>
      <c r="G27" s="85">
        <f t="shared" si="0"/>
        <v>6</v>
      </c>
      <c r="H27" s="85">
        <f t="shared" si="0"/>
        <v>7</v>
      </c>
      <c r="I27" s="85">
        <f t="shared" si="0"/>
        <v>8</v>
      </c>
      <c r="J27" s="85">
        <f t="shared" si="0"/>
        <v>9</v>
      </c>
      <c r="K27" s="85">
        <f t="shared" si="0"/>
        <v>10</v>
      </c>
      <c r="L27" s="85">
        <f t="shared" si="0"/>
        <v>11</v>
      </c>
      <c r="M27" s="85">
        <f t="shared" si="0"/>
        <v>12</v>
      </c>
      <c r="N27" s="85">
        <f t="shared" si="0"/>
        <v>13</v>
      </c>
      <c r="O27" s="85">
        <f t="shared" si="0"/>
        <v>14</v>
      </c>
      <c r="P27" s="85">
        <f t="shared" si="0"/>
        <v>15</v>
      </c>
      <c r="Q27" s="85">
        <f t="shared" si="0"/>
        <v>16</v>
      </c>
      <c r="R27" s="85">
        <f t="shared" si="0"/>
        <v>17</v>
      </c>
      <c r="S27" s="85">
        <f t="shared" si="0"/>
        <v>18</v>
      </c>
      <c r="T27" s="85">
        <f t="shared" si="0"/>
        <v>19</v>
      </c>
      <c r="U27" s="85">
        <f t="shared" si="0"/>
        <v>20</v>
      </c>
      <c r="V27" s="85">
        <f t="shared" si="0"/>
        <v>21</v>
      </c>
      <c r="W27" s="85">
        <f t="shared" si="0"/>
        <v>22</v>
      </c>
      <c r="X27" s="85">
        <f t="shared" si="0"/>
        <v>23</v>
      </c>
      <c r="Y27" s="85">
        <f t="shared" si="0"/>
        <v>24</v>
      </c>
      <c r="Z27" s="85">
        <f t="shared" si="0"/>
        <v>25</v>
      </c>
      <c r="AA27" s="85">
        <f t="shared" si="0"/>
        <v>26</v>
      </c>
      <c r="AB27" s="85">
        <f t="shared" si="0"/>
        <v>27</v>
      </c>
      <c r="AC27" s="85">
        <f t="shared" si="0"/>
        <v>28</v>
      </c>
      <c r="AD27" s="85">
        <f t="shared" si="0"/>
        <v>29</v>
      </c>
      <c r="AE27" s="85">
        <f t="shared" si="0"/>
        <v>30</v>
      </c>
      <c r="AF27" s="85">
        <f t="shared" si="0"/>
        <v>31</v>
      </c>
      <c r="AG27" s="85">
        <f t="shared" si="0"/>
        <v>32</v>
      </c>
      <c r="AH27" s="85">
        <f t="shared" si="0"/>
        <v>33</v>
      </c>
      <c r="AI27" s="85">
        <f t="shared" si="0"/>
        <v>34</v>
      </c>
      <c r="AJ27" s="85">
        <f t="shared" si="0"/>
        <v>35</v>
      </c>
      <c r="AK27" s="85">
        <f t="shared" si="0"/>
        <v>36</v>
      </c>
      <c r="AL27" s="85">
        <f t="shared" si="0"/>
        <v>37</v>
      </c>
      <c r="AM27" s="85">
        <f t="shared" si="0"/>
        <v>38</v>
      </c>
      <c r="AN27" s="85">
        <f t="shared" si="0"/>
        <v>39</v>
      </c>
      <c r="AO27" s="85">
        <f t="shared" si="0"/>
        <v>40</v>
      </c>
      <c r="AP27" s="85">
        <f t="shared" si="0"/>
        <v>41</v>
      </c>
      <c r="AQ27" s="85">
        <f t="shared" si="0"/>
        <v>42</v>
      </c>
      <c r="AR27" s="85">
        <f t="shared" si="0"/>
        <v>43</v>
      </c>
      <c r="AS27" s="85">
        <f t="shared" si="0"/>
        <v>44</v>
      </c>
      <c r="AT27" s="85">
        <f t="shared" si="0"/>
        <v>45</v>
      </c>
      <c r="AU27" s="85">
        <f t="shared" si="0"/>
        <v>46</v>
      </c>
      <c r="AV27" s="85">
        <f t="shared" si="0"/>
        <v>47</v>
      </c>
      <c r="AW27" s="85">
        <f t="shared" si="0"/>
        <v>48</v>
      </c>
      <c r="AX27" s="85">
        <f t="shared" si="0"/>
        <v>49</v>
      </c>
      <c r="AY27" s="85">
        <f t="shared" si="0"/>
        <v>50</v>
      </c>
      <c r="AZ27" s="85">
        <f t="shared" si="0"/>
        <v>51</v>
      </c>
      <c r="BA27" s="85">
        <f t="shared" si="0"/>
        <v>52</v>
      </c>
      <c r="BB27" s="85">
        <f t="shared" si="0"/>
        <v>53</v>
      </c>
      <c r="BC27" s="85">
        <f t="shared" si="0"/>
        <v>54</v>
      </c>
      <c r="BD27" s="85">
        <f t="shared" si="0"/>
        <v>55</v>
      </c>
      <c r="BE27" s="85">
        <f t="shared" si="0"/>
        <v>56</v>
      </c>
      <c r="BF27" s="85">
        <f t="shared" si="0"/>
        <v>57</v>
      </c>
      <c r="BG27" s="85">
        <f t="shared" si="0"/>
        <v>58</v>
      </c>
      <c r="BH27" s="85">
        <f t="shared" si="0"/>
        <v>59</v>
      </c>
      <c r="BI27" s="85">
        <f t="shared" si="0"/>
        <v>60</v>
      </c>
      <c r="BJ27" s="85">
        <f t="shared" si="0"/>
        <v>61</v>
      </c>
      <c r="BK27" s="85">
        <f t="shared" si="0"/>
        <v>62</v>
      </c>
      <c r="BL27" s="85">
        <f t="shared" si="0"/>
        <v>63</v>
      </c>
      <c r="BM27" s="85">
        <f t="shared" si="0"/>
        <v>64</v>
      </c>
      <c r="BN27" s="85">
        <f t="shared" si="0"/>
        <v>65</v>
      </c>
      <c r="BO27" s="85">
        <f t="shared" si="0"/>
        <v>66</v>
      </c>
      <c r="BP27" s="85">
        <f t="shared" si="0"/>
        <v>67</v>
      </c>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row>
    <row r="28" spans="2:105" ht="13" x14ac:dyDescent="0.3">
      <c r="B28" s="86" t="s">
        <v>43</v>
      </c>
      <c r="C28" s="173" cm="1">
        <f t="array" aca="1" ref="C28" ca="1">[2]!HoadleySABRBlackVol($D$5,C27,$D$7,$D$8,$D$9,$D$10,$D$11,$D$12,$D$13,$D$16)</f>
        <v>1.855133507539561</v>
      </c>
      <c r="D28" s="173" cm="1">
        <f t="array" aca="1" ref="D28" ca="1">[2]!HoadleySABRBlackVol($D$5,D27,$D$7,$D$8,$D$9,$D$10,$D$11,$D$12,$D$13,$D$16)</f>
        <v>1.6483011430620822</v>
      </c>
      <c r="E28" s="173" cm="1">
        <f t="array" aca="1" ref="E28" ca="1">[2]!HoadleySABRBlackVol($D$5,E27,$D$7,$D$8,$D$9,$D$10,$D$11,$D$12,$D$13,$D$16)</f>
        <v>1.5628915814088666</v>
      </c>
      <c r="F28" s="173" cm="1">
        <f t="array" aca="1" ref="F28" ca="1">[2]!HoadleySABRBlackVol($D$5,F27,$D$7,$D$8,$D$9,$D$10,$D$11,$D$12,$D$13,$D$16)</f>
        <v>1.5712150043733326</v>
      </c>
      <c r="G28" s="173" cm="1">
        <f t="array" aca="1" ref="G28" ca="1">[2]!HoadleySABRBlackVol($D$5,G27,$D$7,$D$8,$D$9,$D$10,$D$11,$D$12,$D$13,$D$16)</f>
        <v>1.6346167663569944</v>
      </c>
      <c r="H28" s="173" cm="1">
        <f t="array" aca="1" ref="H28" ca="1">[2]!HoadleySABRBlackVol($D$5,H27,$D$7,$D$8,$D$9,$D$10,$D$11,$D$12,$D$13,$D$16)</f>
        <v>1.7200679873649782</v>
      </c>
      <c r="I28" s="173" cm="1">
        <f t="array" aca="1" ref="I28" ca="1">[2]!HoadleySABRBlackVol($D$5,I27,$D$7,$D$8,$D$9,$D$10,$D$11,$D$12,$D$13,$D$16)</f>
        <v>1.8103206261368656</v>
      </c>
      <c r="J28" s="173" cm="1">
        <f t="array" aca="1" ref="J28" ca="1">[2]!HoadleySABRBlackVol($D$5,J27,$D$7,$D$8,$D$9,$D$10,$D$11,$D$12,$D$13,$D$16)</f>
        <v>1.8983381931801753</v>
      </c>
      <c r="K28" s="173" cm="1">
        <f t="array" aca="1" ref="K28" ca="1">[2]!HoadleySABRBlackVol($D$5,K27,$D$7,$D$8,$D$9,$D$10,$D$11,$D$12,$D$13,$D$16)</f>
        <v>1.9816645492006362</v>
      </c>
      <c r="L28" s="173" cm="1">
        <f t="array" aca="1" ref="L28" ca="1">[2]!HoadleySABRBlackVol($D$5,L27,$D$7,$D$8,$D$9,$D$10,$D$11,$D$12,$D$13,$D$16)</f>
        <v>2.0596929888488713</v>
      </c>
      <c r="M28" s="173" cm="1">
        <f t="array" aca="1" ref="M28" ca="1">[2]!HoadleySABRBlackVol($D$5,M27,$D$7,$D$8,$D$9,$D$10,$D$11,$D$12,$D$13,$D$16)</f>
        <v>2.1325335332228845</v>
      </c>
      <c r="N28" s="173" cm="1">
        <f t="array" aca="1" ref="N28" ca="1">[2]!HoadleySABRBlackVol($D$5,N27,$D$7,$D$8,$D$9,$D$10,$D$11,$D$12,$D$13,$D$16)</f>
        <v>2.2005533889334661</v>
      </c>
      <c r="O28" s="173" cm="1">
        <f t="array" aca="1" ref="O28" ca="1">[2]!HoadleySABRBlackVol($D$5,O27,$D$7,$D$8,$D$9,$D$10,$D$11,$D$12,$D$13,$D$16)</f>
        <v>2.2641897364724501</v>
      </c>
      <c r="P28" s="173" cm="1">
        <f t="array" aca="1" ref="P28" ca="1">[2]!HoadleySABRBlackVol($D$5,P27,$D$7,$D$8,$D$9,$D$10,$D$11,$D$12,$D$13,$D$16)</f>
        <v>2.3238744091472867</v>
      </c>
      <c r="Q28" s="173" cm="1">
        <f t="array" aca="1" ref="Q28" ca="1">[2]!HoadleySABRBlackVol($D$5,Q27,$D$7,$D$8,$D$9,$D$10,$D$11,$D$12,$D$13,$D$16)</f>
        <v>2.3800056110389654</v>
      </c>
      <c r="R28" s="173" cm="1">
        <f t="array" aca="1" ref="R28" ca="1">[2]!HoadleySABRBlackVol($D$5,R27,$D$7,$D$8,$D$9,$D$10,$D$11,$D$12,$D$13,$D$16)</f>
        <v>2.4329396344082683</v>
      </c>
      <c r="S28" s="173" cm="1">
        <f t="array" aca="1" ref="S28" ca="1">[2]!HoadleySABRBlackVol($D$5,S27,$D$7,$D$8,$D$9,$D$10,$D$11,$D$12,$D$13,$D$16)</f>
        <v>2.4829909514593944</v>
      </c>
      <c r="T28" s="173" cm="1">
        <f t="array" aca="1" ref="T28" ca="1">[2]!HoadleySABRBlackVol($D$5,T27,$D$7,$D$8,$D$9,$D$10,$D$11,$D$12,$D$13,$D$16)</f>
        <v>2.5304355746897715</v>
      </c>
      <c r="U28" s="173" cm="1">
        <f t="array" aca="1" ref="U28" ca="1">[2]!HoadleySABRBlackVol($D$5,U27,$D$7,$D$8,$D$9,$D$10,$D$11,$D$12,$D$13,$D$16)</f>
        <v>2.5755154310902477</v>
      </c>
      <c r="V28" s="173" cm="1">
        <f t="array" aca="1" ref="V28" ca="1">[2]!HoadleySABRBlackVol($D$5,V27,$D$7,$D$8,$D$9,$D$10,$D$11,$D$12,$D$13,$D$16)</f>
        <v>2.618442774749588</v>
      </c>
      <c r="W28" s="173" cm="1">
        <f t="array" aca="1" ref="W28" ca="1">[2]!HoadleySABRBlackVol($D$5,W27,$D$7,$D$8,$D$9,$D$10,$D$11,$D$12,$D$13,$D$16)</f>
        <v>2.65940424500607</v>
      </c>
      <c r="X28" s="173" cm="1">
        <f t="array" aca="1" ref="X28" ca="1">[2]!HoadleySABRBlackVol($D$5,X27,$D$7,$D$8,$D$9,$D$10,$D$11,$D$12,$D$13,$D$16)</f>
        <v>2.6985644424690802</v>
      </c>
      <c r="Y28" s="173" cm="1">
        <f t="array" aca="1" ref="Y28" ca="1">[2]!HoadleySABRBlackVol($D$5,Y27,$D$7,$D$8,$D$9,$D$10,$D$11,$D$12,$D$13,$D$16)</f>
        <v>2.7360690129908587</v>
      </c>
      <c r="Z28" s="173" cm="1">
        <f t="array" aca="1" ref="Z28" ca="1">[2]!HoadleySABRBlackVol($D$5,Z27,$D$7,$D$8,$D$9,$D$10,$D$11,$D$12,$D$13,$D$16)</f>
        <v>2.7720472783329555</v>
      </c>
      <c r="AA28" s="173" cm="1">
        <f t="array" aca="1" ref="AA28" ca="1">[2]!HoadleySABRBlackVol($D$5,AA27,$D$7,$D$8,$D$9,$D$10,$D$11,$D$12,$D$13,$D$16)</f>
        <v>2.8066144687192116</v>
      </c>
      <c r="AB28" s="173" cm="1">
        <f t="array" aca="1" ref="AB28" ca="1">[2]!HoadleySABRBlackVol($D$5,AB27,$D$7,$D$8,$D$9,$D$10,$D$11,$D$12,$D$13,$D$16)</f>
        <v>2.8398736143005805</v>
      </c>
      <c r="AC28" s="173" cm="1">
        <f t="array" aca="1" ref="AC28" ca="1">[2]!HoadleySABRBlackVol($D$5,AC27,$D$7,$D$8,$D$9,$D$10,$D$11,$D$12,$D$13,$D$16)</f>
        <v>2.8719171482193611</v>
      </c>
      <c r="AD28" s="173" cm="1">
        <f t="array" aca="1" ref="AD28" ca="1">[2]!HoadleySABRBlackVol($D$5,AD27,$D$7,$D$8,$D$9,$D$10,$D$11,$D$12,$D$13,$D$16)</f>
        <v>2.9028282674650581</v>
      </c>
      <c r="AE28" s="173" cm="1">
        <f t="array" aca="1" ref="AE28" ca="1">[2]!HoadleySABRBlackVol($D$5,AE27,$D$7,$D$8,$D$9,$D$10,$D$11,$D$12,$D$13,$D$16)</f>
        <v>2.9326820909150975</v>
      </c>
      <c r="AF28" s="173" cm="1">
        <f t="array" aca="1" ref="AF28" ca="1">[2]!HoadleySABRBlackVol($D$5,AF27,$D$7,$D$8,$D$9,$D$10,$D$11,$D$12,$D$13,$D$16)</f>
        <v>2.9615466476479373</v>
      </c>
      <c r="AG28" s="173" cm="1">
        <f t="array" aca="1" ref="AG28" ca="1">[2]!HoadleySABRBlackVol($D$5,AG27,$D$7,$D$8,$D$9,$D$10,$D$11,$D$12,$D$13,$D$16)</f>
        <v>2.989483723090919</v>
      </c>
      <c r="AH28" s="173" cm="1">
        <f t="array" aca="1" ref="AH28" ca="1">[2]!HoadleySABRBlackVol($D$5,AH27,$D$7,$D$8,$D$9,$D$10,$D$11,$D$12,$D$13,$D$16)</f>
        <v>3.0165495858685589</v>
      </c>
      <c r="AI28" s="173" cm="1">
        <f t="array" aca="1" ref="AI28" ca="1">[2]!HoadleySABRBlackVol($D$5,AI27,$D$7,$D$8,$D$9,$D$10,$D$11,$D$12,$D$13,$D$16)</f>
        <v>3.0427956142920851</v>
      </c>
      <c r="AJ28" s="173" cm="1">
        <f t="array" aca="1" ref="AJ28" ca="1">[2]!HoadleySABRBlackVol($D$5,AJ27,$D$7,$D$8,$D$9,$D$10,$D$11,$D$12,$D$13,$D$16)</f>
        <v>3.0682688381825138</v>
      </c>
      <c r="AK28" s="173" cm="1">
        <f t="array" aca="1" ref="AK28" ca="1">[2]!HoadleySABRBlackVol($D$5,AK27,$D$7,$D$8,$D$9,$D$10,$D$11,$D$12,$D$13,$D$16)</f>
        <v>3.0930124090448436</v>
      </c>
      <c r="AL28" s="173" cm="1">
        <f t="array" aca="1" ref="AL28" ca="1">[2]!HoadleySABRBlackVol($D$5,AL27,$D$7,$D$8,$D$9,$D$10,$D$11,$D$12,$D$13,$D$16)</f>
        <v>3.1170660094139464</v>
      </c>
      <c r="AM28" s="173" cm="1">
        <f t="array" aca="1" ref="AM28" ca="1">[2]!HoadleySABRBlackVol($D$5,AM27,$D$7,$D$8,$D$9,$D$10,$D$11,$D$12,$D$13,$D$16)</f>
        <v>3.1404662103887437</v>
      </c>
      <c r="AN28" s="173" cm="1">
        <f t="array" aca="1" ref="AN28" ca="1">[2]!HoadleySABRBlackVol($D$5,AN27,$D$7,$D$8,$D$9,$D$10,$D$11,$D$12,$D$13,$D$16)</f>
        <v>3.1632467848893842</v>
      </c>
      <c r="AO28" s="173" cm="1">
        <f t="array" aca="1" ref="AO28" ca="1">[2]!HoadleySABRBlackVol($D$5,AO27,$D$7,$D$8,$D$9,$D$10,$D$11,$D$12,$D$13,$D$16)</f>
        <v>3.1854389829524772</v>
      </c>
      <c r="AP28" s="173" cm="1">
        <f t="array" aca="1" ref="AP28" ca="1">[2]!HoadleySABRBlackVol($D$5,AP27,$D$7,$D$8,$D$9,$D$10,$D$11,$D$12,$D$13,$D$16)</f>
        <v>3.2070717743739428</v>
      </c>
      <c r="AQ28" s="173" cm="1">
        <f t="array" aca="1" ref="AQ28" ca="1">[2]!HoadleySABRBlackVol($D$5,AQ27,$D$7,$D$8,$D$9,$D$10,$D$11,$D$12,$D$13,$D$16)</f>
        <v>3.2281720631775728</v>
      </c>
      <c r="AR28" s="173" cm="1">
        <f t="array" aca="1" ref="AR28" ca="1">[2]!HoadleySABRBlackVol($D$5,AR27,$D$7,$D$8,$D$9,$D$10,$D$11,$D$12,$D$13,$D$16)</f>
        <v>3.2487648776983113</v>
      </c>
      <c r="AS28" s="173" cm="1">
        <f t="array" aca="1" ref="AS28" ca="1">[2]!HoadleySABRBlackVol($D$5,AS27,$D$7,$D$8,$D$9,$D$10,$D$11,$D$12,$D$13,$D$16)</f>
        <v>3.2688735394964117</v>
      </c>
      <c r="AT28" s="173" cm="1">
        <f t="array" aca="1" ref="AT28" ca="1">[2]!HoadleySABRBlackVol($D$5,AT27,$D$7,$D$8,$D$9,$D$10,$D$11,$D$12,$D$13,$D$16)</f>
        <v>3.2885198138406859</v>
      </c>
      <c r="AU28" s="173" cm="1">
        <f t="array" aca="1" ref="AU28" ca="1">[2]!HoadleySABRBlackVol($D$5,AU27,$D$7,$D$8,$D$9,$D$10,$D$11,$D$12,$D$13,$D$16)</f>
        <v>3.3077240440996758</v>
      </c>
      <c r="AV28" s="173" cm="1">
        <f t="array" aca="1" ref="AV28" ca="1">[2]!HoadleySABRBlackVol($D$5,AV27,$D$7,$D$8,$D$9,$D$10,$D$11,$D$12,$D$13,$D$16)</f>
        <v>3.3265052720440944</v>
      </c>
      <c r="AW28" s="173" cm="1">
        <f t="array" aca="1" ref="AW28" ca="1">[2]!HoadleySABRBlackVol($D$5,AW27,$D$7,$D$8,$D$9,$D$10,$D$11,$D$12,$D$13,$D$16)</f>
        <v>3.3448813457819395</v>
      </c>
      <c r="AX28" s="173" cm="1">
        <f t="array" aca="1" ref="AX28" ca="1">[2]!HoadleySABRBlackVol($D$5,AX27,$D$7,$D$8,$D$9,$D$10,$D$11,$D$12,$D$13,$D$16)</f>
        <v>3.3628690168093254</v>
      </c>
      <c r="AY28" s="173" cm="1">
        <f t="array" aca="1" ref="AY28" ca="1">[2]!HoadleySABRBlackVol($D$5,AY27,$D$7,$D$8,$D$9,$D$10,$D$11,$D$12,$D$13,$D$16)</f>
        <v>3.3804840274585226</v>
      </c>
      <c r="AZ28" s="173" cm="1">
        <f t="array" aca="1" ref="AZ28" ca="1">[2]!HoadleySABRBlackVol($D$5,AZ27,$D$7,$D$8,$D$9,$D$10,$D$11,$D$12,$D$13,$D$16)</f>
        <v>3.397741189853575</v>
      </c>
      <c r="BA28" s="173" cm="1">
        <f t="array" aca="1" ref="BA28" ca="1">[2]!HoadleySABRBlackVol($D$5,BA27,$D$7,$D$8,$D$9,$D$10,$D$11,$D$12,$D$13,$D$16)</f>
        <v>3.4146544573377784</v>
      </c>
      <c r="BB28" s="173" cm="1">
        <f t="array" aca="1" ref="BB28" ca="1">[2]!HoadleySABRBlackVol($D$5,BB27,$D$7,$D$8,$D$9,$D$10,$D$11,$D$12,$D$13,$D$16)</f>
        <v>3.4312369892131578</v>
      </c>
      <c r="BC28" s="173" cm="1">
        <f t="array" aca="1" ref="BC28" ca="1">[2]!HoadleySABRBlackVol($D$5,BC27,$D$7,$D$8,$D$9,$D$10,$D$11,$D$12,$D$13,$D$16)</f>
        <v>3.4475012095250879</v>
      </c>
      <c r="BD28" s="173" cm="1">
        <f t="array" aca="1" ref="BD28" ca="1">[2]!HoadleySABRBlackVol($D$5,BD27,$D$7,$D$8,$D$9,$D$10,$D$11,$D$12,$D$13,$D$16)</f>
        <v>3.4634588605340131</v>
      </c>
      <c r="BE28" s="173" cm="1">
        <f t="array" aca="1" ref="BE28" ca="1">[2]!HoadleySABRBlackVol($D$5,BE27,$D$7,$D$8,$D$9,$D$10,$D$11,$D$12,$D$13,$D$16)</f>
        <v>3.4791210514371342</v>
      </c>
      <c r="BF28" s="173" cm="1">
        <f t="array" aca="1" ref="BF28" ca="1">[2]!HoadleySABRBlackVol($D$5,BF27,$D$7,$D$8,$D$9,$D$10,$D$11,$D$12,$D$13,$D$16)</f>
        <v>3.4944983028351033</v>
      </c>
      <c r="BG28" s="173" cm="1">
        <f t="array" aca="1" ref="BG28" ca="1">[2]!HoadleySABRBlackVol($D$5,BG27,$D$7,$D$8,$D$9,$D$10,$D$11,$D$12,$D$13,$D$16)</f>
        <v>3.5096005873798517</v>
      </c>
      <c r="BH28" s="173" cm="1">
        <f t="array" aca="1" ref="BH28" ca="1">[2]!HoadleySABRBlackVol($D$5,BH27,$D$7,$D$8,$D$9,$D$10,$D$11,$D$12,$D$13,$D$16)</f>
        <v>3.524437366988705</v>
      </c>
      <c r="BI28" s="173" cm="1">
        <f t="array" aca="1" ref="BI28" ca="1">[2]!HoadleySABRBlackVol($D$5,BI27,$D$7,$D$8,$D$9,$D$10,$D$11,$D$12,$D$13,$D$16)</f>
        <v>3.53901762696553</v>
      </c>
      <c r="BJ28" s="173" cm="1">
        <f t="array" aca="1" ref="BJ28" ca="1">[2]!HoadleySABRBlackVol($D$5,BJ27,$D$7,$D$8,$D$9,$D$10,$D$11,$D$12,$D$13,$D$16)</f>
        <v>3.5533499073310617</v>
      </c>
      <c r="BK28" s="173" cm="1">
        <f t="array" aca="1" ref="BK28" ca="1">[2]!HoadleySABRBlackVol($D$5,BK27,$D$7,$D$8,$D$9,$D$10,$D$11,$D$12,$D$13,$D$16)</f>
        <v>3.5674423316308541</v>
      </c>
      <c r="BL28" s="173" cm="1">
        <f t="array" aca="1" ref="BL28" ca="1">[2]!HoadleySABRBlackVol($D$5,BL27,$D$7,$D$8,$D$9,$D$10,$D$11,$D$12,$D$13,$D$16)</f>
        <v>3.5813026334597251</v>
      </c>
      <c r="BM28" s="173" cm="1">
        <f t="array" aca="1" ref="BM28" ca="1">[2]!HoadleySABRBlackVol($D$5,BM27,$D$7,$D$8,$D$9,$D$10,$D$11,$D$12,$D$13,$D$16)</f>
        <v>3.5949381809156495</v>
      </c>
      <c r="BN28" s="173" cm="1">
        <f t="array" aca="1" ref="BN28" ca="1">[2]!HoadleySABRBlackVol($D$5,BN27,$D$7,$D$8,$D$9,$D$10,$D$11,$D$12,$D$13,$D$16)</f>
        <v>3.6083559991734799</v>
      </c>
      <c r="BO28" s="173" cm="1">
        <f t="array" aca="1" ref="BO28" ca="1">[2]!HoadleySABRBlackVol($D$5,BO27,$D$7,$D$8,$D$9,$D$10,$D$11,$D$12,$D$13,$D$16)</f>
        <v>3.6215627913486479</v>
      </c>
      <c r="BP28" s="173" cm="1">
        <f t="array" aca="1" ref="BP28" ca="1">[2]!HoadleySABRBlackVol($D$5,BP27,$D$7,$D$8,$D$9,$D$10,$D$11,$D$12,$D$13,$D$16)</f>
        <v>3.6345649578034909</v>
      </c>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c r="CX28" s="87"/>
      <c r="CY28" s="87"/>
      <c r="CZ28" s="87"/>
      <c r="DA28" s="87"/>
    </row>
    <row r="29" spans="2:105" ht="13" x14ac:dyDescent="0.3">
      <c r="I29" s="170"/>
      <c r="J29" s="171" t="s">
        <v>72</v>
      </c>
      <c r="K29" s="172" cm="1">
        <f t="array" aca="1" ref="K29" ca="1">[2]!HoadleySABROption("FP",,"s",,D7,D8,,D10,,,,D16)</f>
        <v>4.6534436564516337</v>
      </c>
    </row>
    <row r="30" spans="2:105" x14ac:dyDescent="0.25">
      <c r="E30" s="5"/>
    </row>
    <row r="31" spans="2:105" ht="13" x14ac:dyDescent="0.3">
      <c r="B31" s="61" t="s">
        <v>73</v>
      </c>
      <c r="C31" s="63"/>
      <c r="D31" s="63"/>
      <c r="E31" s="63"/>
      <c r="F31" s="63"/>
      <c r="G31" s="63"/>
      <c r="H31" s="7"/>
      <c r="I31" s="7"/>
      <c r="J31" s="7"/>
      <c r="K31" s="15"/>
    </row>
    <row r="32" spans="2:105" x14ac:dyDescent="0.25">
      <c r="B32" s="15"/>
      <c r="K32" s="15"/>
    </row>
    <row r="33" spans="2:11" x14ac:dyDescent="0.25">
      <c r="B33" s="15"/>
      <c r="G33" s="88"/>
      <c r="H33" s="23" t="s">
        <v>74</v>
      </c>
      <c r="I33" s="23" t="s">
        <v>75</v>
      </c>
      <c r="J33" s="89"/>
      <c r="K33" s="15"/>
    </row>
    <row r="34" spans="2:11" x14ac:dyDescent="0.25">
      <c r="B34" s="9" t="s">
        <v>76</v>
      </c>
      <c r="G34" s="26" t="s">
        <v>18</v>
      </c>
      <c r="H34" s="26" t="s">
        <v>77</v>
      </c>
      <c r="I34" s="26" t="s">
        <v>78</v>
      </c>
      <c r="J34" s="90" t="s">
        <v>79</v>
      </c>
      <c r="K34" s="15"/>
    </row>
    <row r="35" spans="2:11" x14ac:dyDescent="0.25">
      <c r="B35" s="9" t="s">
        <v>80</v>
      </c>
      <c r="G35" s="91" cm="1">
        <f t="array" aca="1" ref="G35:J35" ca="1">[2]!HoadleySABRCalibrate(D5,C27:BP27,C28:BP28,D7,D8,D9,D10,D11,D16)</f>
        <v>2.6399100000000186</v>
      </c>
      <c r="H35" s="92">
        <f ca="1"/>
        <v>-8.0390000000000225E-2</v>
      </c>
      <c r="I35" s="93">
        <f ca="1"/>
        <v>451</v>
      </c>
      <c r="J35" s="94">
        <f ca="1"/>
        <v>8.5902221639716884E-7</v>
      </c>
      <c r="K35" s="15"/>
    </row>
    <row r="36" spans="2:11" x14ac:dyDescent="0.25">
      <c r="B36" s="76"/>
      <c r="C36" s="19"/>
      <c r="D36" s="19"/>
      <c r="E36" s="19"/>
      <c r="F36" s="19"/>
      <c r="G36" s="19"/>
      <c r="H36" s="19"/>
      <c r="I36" s="19"/>
      <c r="J36" s="19"/>
      <c r="K36" s="15"/>
    </row>
    <row r="72" spans="3:68" x14ac:dyDescent="0.25">
      <c r="C72" s="95">
        <f>$D$9</f>
        <v>1.56</v>
      </c>
      <c r="D72" s="95">
        <f t="shared" ref="D72:BO72" si="1">$D$9</f>
        <v>1.56</v>
      </c>
      <c r="E72" s="95">
        <f t="shared" si="1"/>
        <v>1.56</v>
      </c>
      <c r="F72" s="95">
        <f t="shared" si="1"/>
        <v>1.56</v>
      </c>
      <c r="G72" s="95">
        <f t="shared" si="1"/>
        <v>1.56</v>
      </c>
      <c r="H72" s="95">
        <f t="shared" si="1"/>
        <v>1.56</v>
      </c>
      <c r="I72" s="95">
        <f t="shared" si="1"/>
        <v>1.56</v>
      </c>
      <c r="J72" s="95">
        <f t="shared" si="1"/>
        <v>1.56</v>
      </c>
      <c r="K72" s="95">
        <f t="shared" si="1"/>
        <v>1.56</v>
      </c>
      <c r="L72" s="95">
        <f t="shared" si="1"/>
        <v>1.56</v>
      </c>
      <c r="M72" s="95">
        <f t="shared" si="1"/>
        <v>1.56</v>
      </c>
      <c r="N72" s="95">
        <f t="shared" si="1"/>
        <v>1.56</v>
      </c>
      <c r="O72" s="95">
        <f t="shared" si="1"/>
        <v>1.56</v>
      </c>
      <c r="P72" s="95">
        <f t="shared" si="1"/>
        <v>1.56</v>
      </c>
      <c r="Q72" s="95">
        <f t="shared" si="1"/>
        <v>1.56</v>
      </c>
      <c r="R72" s="95">
        <f>$D$9</f>
        <v>1.56</v>
      </c>
      <c r="S72" s="95">
        <f t="shared" si="1"/>
        <v>1.56</v>
      </c>
      <c r="T72" s="95">
        <f t="shared" si="1"/>
        <v>1.56</v>
      </c>
      <c r="U72" s="95">
        <f t="shared" si="1"/>
        <v>1.56</v>
      </c>
      <c r="V72" s="95">
        <f t="shared" si="1"/>
        <v>1.56</v>
      </c>
      <c r="W72" s="95">
        <f t="shared" si="1"/>
        <v>1.56</v>
      </c>
      <c r="X72" s="95">
        <f t="shared" si="1"/>
        <v>1.56</v>
      </c>
      <c r="Y72" s="95">
        <f t="shared" si="1"/>
        <v>1.56</v>
      </c>
      <c r="Z72" s="95">
        <f t="shared" si="1"/>
        <v>1.56</v>
      </c>
      <c r="AA72" s="95">
        <f t="shared" si="1"/>
        <v>1.56</v>
      </c>
      <c r="AB72" s="95">
        <f t="shared" si="1"/>
        <v>1.56</v>
      </c>
      <c r="AC72" s="95">
        <f t="shared" si="1"/>
        <v>1.56</v>
      </c>
      <c r="AD72" s="95">
        <f t="shared" si="1"/>
        <v>1.56</v>
      </c>
      <c r="AE72" s="95">
        <f t="shared" si="1"/>
        <v>1.56</v>
      </c>
      <c r="AF72" s="95">
        <f t="shared" si="1"/>
        <v>1.56</v>
      </c>
      <c r="AG72" s="95">
        <f t="shared" si="1"/>
        <v>1.56</v>
      </c>
      <c r="AH72" s="95">
        <f t="shared" si="1"/>
        <v>1.56</v>
      </c>
      <c r="AI72" s="95">
        <f t="shared" si="1"/>
        <v>1.56</v>
      </c>
      <c r="AJ72" s="95">
        <f t="shared" si="1"/>
        <v>1.56</v>
      </c>
      <c r="AK72" s="95">
        <f t="shared" si="1"/>
        <v>1.56</v>
      </c>
      <c r="AL72" s="95">
        <f t="shared" si="1"/>
        <v>1.56</v>
      </c>
      <c r="AM72" s="95">
        <f t="shared" si="1"/>
        <v>1.56</v>
      </c>
      <c r="AN72" s="95">
        <f t="shared" si="1"/>
        <v>1.56</v>
      </c>
      <c r="AO72" s="95">
        <f t="shared" si="1"/>
        <v>1.56</v>
      </c>
      <c r="AP72" s="95">
        <f t="shared" si="1"/>
        <v>1.56</v>
      </c>
      <c r="AQ72" s="95">
        <f t="shared" si="1"/>
        <v>1.56</v>
      </c>
      <c r="AR72" s="95">
        <f t="shared" si="1"/>
        <v>1.56</v>
      </c>
      <c r="AS72" s="95">
        <f t="shared" si="1"/>
        <v>1.56</v>
      </c>
      <c r="AT72" s="95">
        <f t="shared" si="1"/>
        <v>1.56</v>
      </c>
      <c r="AU72" s="95">
        <f t="shared" si="1"/>
        <v>1.56</v>
      </c>
      <c r="AV72" s="95">
        <f t="shared" si="1"/>
        <v>1.56</v>
      </c>
      <c r="AW72" s="95">
        <f t="shared" si="1"/>
        <v>1.56</v>
      </c>
      <c r="AX72" s="95">
        <f t="shared" si="1"/>
        <v>1.56</v>
      </c>
      <c r="AY72" s="95">
        <f t="shared" si="1"/>
        <v>1.56</v>
      </c>
      <c r="AZ72" s="95">
        <f t="shared" si="1"/>
        <v>1.56</v>
      </c>
      <c r="BA72" s="95">
        <f t="shared" si="1"/>
        <v>1.56</v>
      </c>
      <c r="BB72" s="95">
        <f t="shared" si="1"/>
        <v>1.56</v>
      </c>
      <c r="BC72" s="95">
        <f t="shared" si="1"/>
        <v>1.56</v>
      </c>
      <c r="BD72" s="95">
        <f t="shared" si="1"/>
        <v>1.56</v>
      </c>
      <c r="BE72" s="95">
        <f t="shared" si="1"/>
        <v>1.56</v>
      </c>
      <c r="BF72" s="95">
        <f t="shared" si="1"/>
        <v>1.56</v>
      </c>
      <c r="BG72" s="95">
        <f t="shared" si="1"/>
        <v>1.56</v>
      </c>
      <c r="BH72" s="95">
        <f t="shared" si="1"/>
        <v>1.56</v>
      </c>
      <c r="BI72" s="95">
        <f t="shared" si="1"/>
        <v>1.56</v>
      </c>
      <c r="BJ72" s="95">
        <f t="shared" si="1"/>
        <v>1.56</v>
      </c>
      <c r="BK72" s="95">
        <f t="shared" si="1"/>
        <v>1.56</v>
      </c>
      <c r="BL72" s="95">
        <f t="shared" si="1"/>
        <v>1.56</v>
      </c>
      <c r="BM72" s="95">
        <f t="shared" si="1"/>
        <v>1.56</v>
      </c>
      <c r="BN72" s="95">
        <f t="shared" si="1"/>
        <v>1.56</v>
      </c>
      <c r="BO72" s="95">
        <f t="shared" si="1"/>
        <v>1.56</v>
      </c>
      <c r="BP72" s="95">
        <f t="shared" ref="BP72" si="2">$D$9</f>
        <v>1.56</v>
      </c>
    </row>
    <row r="83" spans="2:2" x14ac:dyDescent="0.25">
      <c r="B83" s="5" t="s">
        <v>39</v>
      </c>
    </row>
    <row r="84" spans="2:2" x14ac:dyDescent="0.25">
      <c r="B84" s="5" t="s">
        <v>5</v>
      </c>
    </row>
  </sheetData>
  <dataValidations count="1">
    <dataValidation type="list" allowBlank="1" showInputMessage="1" showErrorMessage="1" sqref="D5 IZ5 SV5 ACR5 AMN5 AWJ5 BGF5 BQB5 BZX5 CJT5 CTP5 DDL5 DNH5 DXD5 EGZ5 EQV5 FAR5 FKN5 FUJ5 GEF5 GOB5 GXX5 HHT5 HRP5 IBL5 ILH5 IVD5 JEZ5 JOV5 JYR5 KIN5 KSJ5 LCF5 LMB5 LVX5 MFT5 MPP5 MZL5 NJH5 NTD5 OCZ5 OMV5 OWR5 PGN5 PQJ5 QAF5 QKB5 QTX5 RDT5 RNP5 RXL5 SHH5 SRD5 TAZ5 TKV5 TUR5 UEN5 UOJ5 UYF5 VIB5 VRX5 WBT5 WLP5 WVL5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xr:uid="{CA9E88F2-A60E-42FD-87C9-545A8AADDC09}">
      <formula1>$B$83:$B$84</formula1>
    </dataValidation>
  </dataValidation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autoPict="0" r:id="rId4">
            <anchor moveWithCells="1">
              <from>
                <xdr:col>1</xdr:col>
                <xdr:colOff>38100</xdr:colOff>
                <xdr:row>1</xdr:row>
                <xdr:rowOff>0</xdr:rowOff>
              </from>
              <to>
                <xdr:col>1</xdr:col>
                <xdr:colOff>1073150</xdr:colOff>
                <xdr:row>1</xdr:row>
                <xdr:rowOff>0</xdr:rowOff>
              </to>
            </anchor>
          </controlPr>
        </control>
      </mc:Choice>
      <mc:Fallback>
        <control shapeId="3073"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2B781-6F33-4ADC-9319-2C4CFF2DF10A}">
  <sheetPr codeName="Sheet147"/>
  <dimension ref="B2:BT129"/>
  <sheetViews>
    <sheetView zoomScale="85" zoomScaleNormal="85" workbookViewId="0">
      <selection activeCell="D13" sqref="D13"/>
    </sheetView>
  </sheetViews>
  <sheetFormatPr defaultColWidth="9.08984375" defaultRowHeight="12.5" x14ac:dyDescent="0.25"/>
  <cols>
    <col min="1" max="1" width="1.453125" style="1" customWidth="1"/>
    <col min="2" max="2" width="25.6328125" style="1" customWidth="1"/>
    <col min="3" max="4" width="9.08984375" style="1"/>
    <col min="5" max="5" width="2.453125" style="1" customWidth="1"/>
    <col min="6" max="6" width="45.36328125" style="1" customWidth="1"/>
    <col min="7" max="12" width="8.36328125" style="1" customWidth="1"/>
    <col min="13" max="13" width="8.453125" style="1" bestFit="1" customWidth="1"/>
    <col min="14" max="17" width="8.36328125" style="1" customWidth="1"/>
    <col min="18" max="257" width="9.08984375" style="1"/>
    <col min="258" max="258" width="1.453125" style="1" customWidth="1"/>
    <col min="259" max="259" width="25.6328125" style="1" customWidth="1"/>
    <col min="260" max="261" width="9.08984375" style="1"/>
    <col min="262" max="262" width="45.36328125" style="1" customWidth="1"/>
    <col min="263" max="273" width="8.36328125" style="1" customWidth="1"/>
    <col min="274" max="513" width="9.08984375" style="1"/>
    <col min="514" max="514" width="1.453125" style="1" customWidth="1"/>
    <col min="515" max="515" width="25.6328125" style="1" customWidth="1"/>
    <col min="516" max="517" width="9.08984375" style="1"/>
    <col min="518" max="518" width="45.36328125" style="1" customWidth="1"/>
    <col min="519" max="529" width="8.36328125" style="1" customWidth="1"/>
    <col min="530" max="769" width="9.08984375" style="1"/>
    <col min="770" max="770" width="1.453125" style="1" customWidth="1"/>
    <col min="771" max="771" width="25.6328125" style="1" customWidth="1"/>
    <col min="772" max="773" width="9.08984375" style="1"/>
    <col min="774" max="774" width="45.36328125" style="1" customWidth="1"/>
    <col min="775" max="785" width="8.36328125" style="1" customWidth="1"/>
    <col min="786" max="1025" width="9.08984375" style="1"/>
    <col min="1026" max="1026" width="1.453125" style="1" customWidth="1"/>
    <col min="1027" max="1027" width="25.6328125" style="1" customWidth="1"/>
    <col min="1028" max="1029" width="9.08984375" style="1"/>
    <col min="1030" max="1030" width="45.36328125" style="1" customWidth="1"/>
    <col min="1031" max="1041" width="8.36328125" style="1" customWidth="1"/>
    <col min="1042" max="1281" width="9.08984375" style="1"/>
    <col min="1282" max="1282" width="1.453125" style="1" customWidth="1"/>
    <col min="1283" max="1283" width="25.6328125" style="1" customWidth="1"/>
    <col min="1284" max="1285" width="9.08984375" style="1"/>
    <col min="1286" max="1286" width="45.36328125" style="1" customWidth="1"/>
    <col min="1287" max="1297" width="8.36328125" style="1" customWidth="1"/>
    <col min="1298" max="1537" width="9.08984375" style="1"/>
    <col min="1538" max="1538" width="1.453125" style="1" customWidth="1"/>
    <col min="1539" max="1539" width="25.6328125" style="1" customWidth="1"/>
    <col min="1540" max="1541" width="9.08984375" style="1"/>
    <col min="1542" max="1542" width="45.36328125" style="1" customWidth="1"/>
    <col min="1543" max="1553" width="8.36328125" style="1" customWidth="1"/>
    <col min="1554" max="1793" width="9.08984375" style="1"/>
    <col min="1794" max="1794" width="1.453125" style="1" customWidth="1"/>
    <col min="1795" max="1795" width="25.6328125" style="1" customWidth="1"/>
    <col min="1796" max="1797" width="9.08984375" style="1"/>
    <col min="1798" max="1798" width="45.36328125" style="1" customWidth="1"/>
    <col min="1799" max="1809" width="8.36328125" style="1" customWidth="1"/>
    <col min="1810" max="2049" width="9.08984375" style="1"/>
    <col min="2050" max="2050" width="1.453125" style="1" customWidth="1"/>
    <col min="2051" max="2051" width="25.6328125" style="1" customWidth="1"/>
    <col min="2052" max="2053" width="9.08984375" style="1"/>
    <col min="2054" max="2054" width="45.36328125" style="1" customWidth="1"/>
    <col min="2055" max="2065" width="8.36328125" style="1" customWidth="1"/>
    <col min="2066" max="2305" width="9.08984375" style="1"/>
    <col min="2306" max="2306" width="1.453125" style="1" customWidth="1"/>
    <col min="2307" max="2307" width="25.6328125" style="1" customWidth="1"/>
    <col min="2308" max="2309" width="9.08984375" style="1"/>
    <col min="2310" max="2310" width="45.36328125" style="1" customWidth="1"/>
    <col min="2311" max="2321" width="8.36328125" style="1" customWidth="1"/>
    <col min="2322" max="2561" width="9.08984375" style="1"/>
    <col min="2562" max="2562" width="1.453125" style="1" customWidth="1"/>
    <col min="2563" max="2563" width="25.6328125" style="1" customWidth="1"/>
    <col min="2564" max="2565" width="9.08984375" style="1"/>
    <col min="2566" max="2566" width="45.36328125" style="1" customWidth="1"/>
    <col min="2567" max="2577" width="8.36328125" style="1" customWidth="1"/>
    <col min="2578" max="2817" width="9.08984375" style="1"/>
    <col min="2818" max="2818" width="1.453125" style="1" customWidth="1"/>
    <col min="2819" max="2819" width="25.6328125" style="1" customWidth="1"/>
    <col min="2820" max="2821" width="9.08984375" style="1"/>
    <col min="2822" max="2822" width="45.36328125" style="1" customWidth="1"/>
    <col min="2823" max="2833" width="8.36328125" style="1" customWidth="1"/>
    <col min="2834" max="3073" width="9.08984375" style="1"/>
    <col min="3074" max="3074" width="1.453125" style="1" customWidth="1"/>
    <col min="3075" max="3075" width="25.6328125" style="1" customWidth="1"/>
    <col min="3076" max="3077" width="9.08984375" style="1"/>
    <col min="3078" max="3078" width="45.36328125" style="1" customWidth="1"/>
    <col min="3079" max="3089" width="8.36328125" style="1" customWidth="1"/>
    <col min="3090" max="3329" width="9.08984375" style="1"/>
    <col min="3330" max="3330" width="1.453125" style="1" customWidth="1"/>
    <col min="3331" max="3331" width="25.6328125" style="1" customWidth="1"/>
    <col min="3332" max="3333" width="9.08984375" style="1"/>
    <col min="3334" max="3334" width="45.36328125" style="1" customWidth="1"/>
    <col min="3335" max="3345" width="8.36328125" style="1" customWidth="1"/>
    <col min="3346" max="3585" width="9.08984375" style="1"/>
    <col min="3586" max="3586" width="1.453125" style="1" customWidth="1"/>
    <col min="3587" max="3587" width="25.6328125" style="1" customWidth="1"/>
    <col min="3588" max="3589" width="9.08984375" style="1"/>
    <col min="3590" max="3590" width="45.36328125" style="1" customWidth="1"/>
    <col min="3591" max="3601" width="8.36328125" style="1" customWidth="1"/>
    <col min="3602" max="3841" width="9.08984375" style="1"/>
    <col min="3842" max="3842" width="1.453125" style="1" customWidth="1"/>
    <col min="3843" max="3843" width="25.6328125" style="1" customWidth="1"/>
    <col min="3844" max="3845" width="9.08984375" style="1"/>
    <col min="3846" max="3846" width="45.36328125" style="1" customWidth="1"/>
    <col min="3847" max="3857" width="8.36328125" style="1" customWidth="1"/>
    <col min="3858" max="4097" width="9.08984375" style="1"/>
    <col min="4098" max="4098" width="1.453125" style="1" customWidth="1"/>
    <col min="4099" max="4099" width="25.6328125" style="1" customWidth="1"/>
    <col min="4100" max="4101" width="9.08984375" style="1"/>
    <col min="4102" max="4102" width="45.36328125" style="1" customWidth="1"/>
    <col min="4103" max="4113" width="8.36328125" style="1" customWidth="1"/>
    <col min="4114" max="4353" width="9.08984375" style="1"/>
    <col min="4354" max="4354" width="1.453125" style="1" customWidth="1"/>
    <col min="4355" max="4355" width="25.6328125" style="1" customWidth="1"/>
    <col min="4356" max="4357" width="9.08984375" style="1"/>
    <col min="4358" max="4358" width="45.36328125" style="1" customWidth="1"/>
    <col min="4359" max="4369" width="8.36328125" style="1" customWidth="1"/>
    <col min="4370" max="4609" width="9.08984375" style="1"/>
    <col min="4610" max="4610" width="1.453125" style="1" customWidth="1"/>
    <col min="4611" max="4611" width="25.6328125" style="1" customWidth="1"/>
    <col min="4612" max="4613" width="9.08984375" style="1"/>
    <col min="4614" max="4614" width="45.36328125" style="1" customWidth="1"/>
    <col min="4615" max="4625" width="8.36328125" style="1" customWidth="1"/>
    <col min="4626" max="4865" width="9.08984375" style="1"/>
    <col min="4866" max="4866" width="1.453125" style="1" customWidth="1"/>
    <col min="4867" max="4867" width="25.6328125" style="1" customWidth="1"/>
    <col min="4868" max="4869" width="9.08984375" style="1"/>
    <col min="4870" max="4870" width="45.36328125" style="1" customWidth="1"/>
    <col min="4871" max="4881" width="8.36328125" style="1" customWidth="1"/>
    <col min="4882" max="5121" width="9.08984375" style="1"/>
    <col min="5122" max="5122" width="1.453125" style="1" customWidth="1"/>
    <col min="5123" max="5123" width="25.6328125" style="1" customWidth="1"/>
    <col min="5124" max="5125" width="9.08984375" style="1"/>
    <col min="5126" max="5126" width="45.36328125" style="1" customWidth="1"/>
    <col min="5127" max="5137" width="8.36328125" style="1" customWidth="1"/>
    <col min="5138" max="5377" width="9.08984375" style="1"/>
    <col min="5378" max="5378" width="1.453125" style="1" customWidth="1"/>
    <col min="5379" max="5379" width="25.6328125" style="1" customWidth="1"/>
    <col min="5380" max="5381" width="9.08984375" style="1"/>
    <col min="5382" max="5382" width="45.36328125" style="1" customWidth="1"/>
    <col min="5383" max="5393" width="8.36328125" style="1" customWidth="1"/>
    <col min="5394" max="5633" width="9.08984375" style="1"/>
    <col min="5634" max="5634" width="1.453125" style="1" customWidth="1"/>
    <col min="5635" max="5635" width="25.6328125" style="1" customWidth="1"/>
    <col min="5636" max="5637" width="9.08984375" style="1"/>
    <col min="5638" max="5638" width="45.36328125" style="1" customWidth="1"/>
    <col min="5639" max="5649" width="8.36328125" style="1" customWidth="1"/>
    <col min="5650" max="5889" width="9.08984375" style="1"/>
    <col min="5890" max="5890" width="1.453125" style="1" customWidth="1"/>
    <col min="5891" max="5891" width="25.6328125" style="1" customWidth="1"/>
    <col min="5892" max="5893" width="9.08984375" style="1"/>
    <col min="5894" max="5894" width="45.36328125" style="1" customWidth="1"/>
    <col min="5895" max="5905" width="8.36328125" style="1" customWidth="1"/>
    <col min="5906" max="6145" width="9.08984375" style="1"/>
    <col min="6146" max="6146" width="1.453125" style="1" customWidth="1"/>
    <col min="6147" max="6147" width="25.6328125" style="1" customWidth="1"/>
    <col min="6148" max="6149" width="9.08984375" style="1"/>
    <col min="6150" max="6150" width="45.36328125" style="1" customWidth="1"/>
    <col min="6151" max="6161" width="8.36328125" style="1" customWidth="1"/>
    <col min="6162" max="6401" width="9.08984375" style="1"/>
    <col min="6402" max="6402" width="1.453125" style="1" customWidth="1"/>
    <col min="6403" max="6403" width="25.6328125" style="1" customWidth="1"/>
    <col min="6404" max="6405" width="9.08984375" style="1"/>
    <col min="6406" max="6406" width="45.36328125" style="1" customWidth="1"/>
    <col min="6407" max="6417" width="8.36328125" style="1" customWidth="1"/>
    <col min="6418" max="6657" width="9.08984375" style="1"/>
    <col min="6658" max="6658" width="1.453125" style="1" customWidth="1"/>
    <col min="6659" max="6659" width="25.6328125" style="1" customWidth="1"/>
    <col min="6660" max="6661" width="9.08984375" style="1"/>
    <col min="6662" max="6662" width="45.36328125" style="1" customWidth="1"/>
    <col min="6663" max="6673" width="8.36328125" style="1" customWidth="1"/>
    <col min="6674" max="6913" width="9.08984375" style="1"/>
    <col min="6914" max="6914" width="1.453125" style="1" customWidth="1"/>
    <col min="6915" max="6915" width="25.6328125" style="1" customWidth="1"/>
    <col min="6916" max="6917" width="9.08984375" style="1"/>
    <col min="6918" max="6918" width="45.36328125" style="1" customWidth="1"/>
    <col min="6919" max="6929" width="8.36328125" style="1" customWidth="1"/>
    <col min="6930" max="7169" width="9.08984375" style="1"/>
    <col min="7170" max="7170" width="1.453125" style="1" customWidth="1"/>
    <col min="7171" max="7171" width="25.6328125" style="1" customWidth="1"/>
    <col min="7172" max="7173" width="9.08984375" style="1"/>
    <col min="7174" max="7174" width="45.36328125" style="1" customWidth="1"/>
    <col min="7175" max="7185" width="8.36328125" style="1" customWidth="1"/>
    <col min="7186" max="7425" width="9.08984375" style="1"/>
    <col min="7426" max="7426" width="1.453125" style="1" customWidth="1"/>
    <col min="7427" max="7427" width="25.6328125" style="1" customWidth="1"/>
    <col min="7428" max="7429" width="9.08984375" style="1"/>
    <col min="7430" max="7430" width="45.36328125" style="1" customWidth="1"/>
    <col min="7431" max="7441" width="8.36328125" style="1" customWidth="1"/>
    <col min="7442" max="7681" width="9.08984375" style="1"/>
    <col min="7682" max="7682" width="1.453125" style="1" customWidth="1"/>
    <col min="7683" max="7683" width="25.6328125" style="1" customWidth="1"/>
    <col min="7684" max="7685" width="9.08984375" style="1"/>
    <col min="7686" max="7686" width="45.36328125" style="1" customWidth="1"/>
    <col min="7687" max="7697" width="8.36328125" style="1" customWidth="1"/>
    <col min="7698" max="7937" width="9.08984375" style="1"/>
    <col min="7938" max="7938" width="1.453125" style="1" customWidth="1"/>
    <col min="7939" max="7939" width="25.6328125" style="1" customWidth="1"/>
    <col min="7940" max="7941" width="9.08984375" style="1"/>
    <col min="7942" max="7942" width="45.36328125" style="1" customWidth="1"/>
    <col min="7943" max="7953" width="8.36328125" style="1" customWidth="1"/>
    <col min="7954" max="8193" width="9.08984375" style="1"/>
    <col min="8194" max="8194" width="1.453125" style="1" customWidth="1"/>
    <col min="8195" max="8195" width="25.6328125" style="1" customWidth="1"/>
    <col min="8196" max="8197" width="9.08984375" style="1"/>
    <col min="8198" max="8198" width="45.36328125" style="1" customWidth="1"/>
    <col min="8199" max="8209" width="8.36328125" style="1" customWidth="1"/>
    <col min="8210" max="8449" width="9.08984375" style="1"/>
    <col min="8450" max="8450" width="1.453125" style="1" customWidth="1"/>
    <col min="8451" max="8451" width="25.6328125" style="1" customWidth="1"/>
    <col min="8452" max="8453" width="9.08984375" style="1"/>
    <col min="8454" max="8454" width="45.36328125" style="1" customWidth="1"/>
    <col min="8455" max="8465" width="8.36328125" style="1" customWidth="1"/>
    <col min="8466" max="8705" width="9.08984375" style="1"/>
    <col min="8706" max="8706" width="1.453125" style="1" customWidth="1"/>
    <col min="8707" max="8707" width="25.6328125" style="1" customWidth="1"/>
    <col min="8708" max="8709" width="9.08984375" style="1"/>
    <col min="8710" max="8710" width="45.36328125" style="1" customWidth="1"/>
    <col min="8711" max="8721" width="8.36328125" style="1" customWidth="1"/>
    <col min="8722" max="8961" width="9.08984375" style="1"/>
    <col min="8962" max="8962" width="1.453125" style="1" customWidth="1"/>
    <col min="8963" max="8963" width="25.6328125" style="1" customWidth="1"/>
    <col min="8964" max="8965" width="9.08984375" style="1"/>
    <col min="8966" max="8966" width="45.36328125" style="1" customWidth="1"/>
    <col min="8967" max="8977" width="8.36328125" style="1" customWidth="1"/>
    <col min="8978" max="9217" width="9.08984375" style="1"/>
    <col min="9218" max="9218" width="1.453125" style="1" customWidth="1"/>
    <col min="9219" max="9219" width="25.6328125" style="1" customWidth="1"/>
    <col min="9220" max="9221" width="9.08984375" style="1"/>
    <col min="9222" max="9222" width="45.36328125" style="1" customWidth="1"/>
    <col min="9223" max="9233" width="8.36328125" style="1" customWidth="1"/>
    <col min="9234" max="9473" width="9.08984375" style="1"/>
    <col min="9474" max="9474" width="1.453125" style="1" customWidth="1"/>
    <col min="9475" max="9475" width="25.6328125" style="1" customWidth="1"/>
    <col min="9476" max="9477" width="9.08984375" style="1"/>
    <col min="9478" max="9478" width="45.36328125" style="1" customWidth="1"/>
    <col min="9479" max="9489" width="8.36328125" style="1" customWidth="1"/>
    <col min="9490" max="9729" width="9.08984375" style="1"/>
    <col min="9730" max="9730" width="1.453125" style="1" customWidth="1"/>
    <col min="9731" max="9731" width="25.6328125" style="1" customWidth="1"/>
    <col min="9732" max="9733" width="9.08984375" style="1"/>
    <col min="9734" max="9734" width="45.36328125" style="1" customWidth="1"/>
    <col min="9735" max="9745" width="8.36328125" style="1" customWidth="1"/>
    <col min="9746" max="9985" width="9.08984375" style="1"/>
    <col min="9986" max="9986" width="1.453125" style="1" customWidth="1"/>
    <col min="9987" max="9987" width="25.6328125" style="1" customWidth="1"/>
    <col min="9988" max="9989" width="9.08984375" style="1"/>
    <col min="9990" max="9990" width="45.36328125" style="1" customWidth="1"/>
    <col min="9991" max="10001" width="8.36328125" style="1" customWidth="1"/>
    <col min="10002" max="10241" width="9.08984375" style="1"/>
    <col min="10242" max="10242" width="1.453125" style="1" customWidth="1"/>
    <col min="10243" max="10243" width="25.6328125" style="1" customWidth="1"/>
    <col min="10244" max="10245" width="9.08984375" style="1"/>
    <col min="10246" max="10246" width="45.36328125" style="1" customWidth="1"/>
    <col min="10247" max="10257" width="8.36328125" style="1" customWidth="1"/>
    <col min="10258" max="10497" width="9.08984375" style="1"/>
    <col min="10498" max="10498" width="1.453125" style="1" customWidth="1"/>
    <col min="10499" max="10499" width="25.6328125" style="1" customWidth="1"/>
    <col min="10500" max="10501" width="9.08984375" style="1"/>
    <col min="10502" max="10502" width="45.36328125" style="1" customWidth="1"/>
    <col min="10503" max="10513" width="8.36328125" style="1" customWidth="1"/>
    <col min="10514" max="10753" width="9.08984375" style="1"/>
    <col min="10754" max="10754" width="1.453125" style="1" customWidth="1"/>
    <col min="10755" max="10755" width="25.6328125" style="1" customWidth="1"/>
    <col min="10756" max="10757" width="9.08984375" style="1"/>
    <col min="10758" max="10758" width="45.36328125" style="1" customWidth="1"/>
    <col min="10759" max="10769" width="8.36328125" style="1" customWidth="1"/>
    <col min="10770" max="11009" width="9.08984375" style="1"/>
    <col min="11010" max="11010" width="1.453125" style="1" customWidth="1"/>
    <col min="11011" max="11011" width="25.6328125" style="1" customWidth="1"/>
    <col min="11012" max="11013" width="9.08984375" style="1"/>
    <col min="11014" max="11014" width="45.36328125" style="1" customWidth="1"/>
    <col min="11015" max="11025" width="8.36328125" style="1" customWidth="1"/>
    <col min="11026" max="11265" width="9.08984375" style="1"/>
    <col min="11266" max="11266" width="1.453125" style="1" customWidth="1"/>
    <col min="11267" max="11267" width="25.6328125" style="1" customWidth="1"/>
    <col min="11268" max="11269" width="9.08984375" style="1"/>
    <col min="11270" max="11270" width="45.36328125" style="1" customWidth="1"/>
    <col min="11271" max="11281" width="8.36328125" style="1" customWidth="1"/>
    <col min="11282" max="11521" width="9.08984375" style="1"/>
    <col min="11522" max="11522" width="1.453125" style="1" customWidth="1"/>
    <col min="11523" max="11523" width="25.6328125" style="1" customWidth="1"/>
    <col min="11524" max="11525" width="9.08984375" style="1"/>
    <col min="11526" max="11526" width="45.36328125" style="1" customWidth="1"/>
    <col min="11527" max="11537" width="8.36328125" style="1" customWidth="1"/>
    <col min="11538" max="11777" width="9.08984375" style="1"/>
    <col min="11778" max="11778" width="1.453125" style="1" customWidth="1"/>
    <col min="11779" max="11779" width="25.6328125" style="1" customWidth="1"/>
    <col min="11780" max="11781" width="9.08984375" style="1"/>
    <col min="11782" max="11782" width="45.36328125" style="1" customWidth="1"/>
    <col min="11783" max="11793" width="8.36328125" style="1" customWidth="1"/>
    <col min="11794" max="12033" width="9.08984375" style="1"/>
    <col min="12034" max="12034" width="1.453125" style="1" customWidth="1"/>
    <col min="12035" max="12035" width="25.6328125" style="1" customWidth="1"/>
    <col min="12036" max="12037" width="9.08984375" style="1"/>
    <col min="12038" max="12038" width="45.36328125" style="1" customWidth="1"/>
    <col min="12039" max="12049" width="8.36328125" style="1" customWidth="1"/>
    <col min="12050" max="12289" width="9.08984375" style="1"/>
    <col min="12290" max="12290" width="1.453125" style="1" customWidth="1"/>
    <col min="12291" max="12291" width="25.6328125" style="1" customWidth="1"/>
    <col min="12292" max="12293" width="9.08984375" style="1"/>
    <col min="12294" max="12294" width="45.36328125" style="1" customWidth="1"/>
    <col min="12295" max="12305" width="8.36328125" style="1" customWidth="1"/>
    <col min="12306" max="12545" width="9.08984375" style="1"/>
    <col min="12546" max="12546" width="1.453125" style="1" customWidth="1"/>
    <col min="12547" max="12547" width="25.6328125" style="1" customWidth="1"/>
    <col min="12548" max="12549" width="9.08984375" style="1"/>
    <col min="12550" max="12550" width="45.36328125" style="1" customWidth="1"/>
    <col min="12551" max="12561" width="8.36328125" style="1" customWidth="1"/>
    <col min="12562" max="12801" width="9.08984375" style="1"/>
    <col min="12802" max="12802" width="1.453125" style="1" customWidth="1"/>
    <col min="12803" max="12803" width="25.6328125" style="1" customWidth="1"/>
    <col min="12804" max="12805" width="9.08984375" style="1"/>
    <col min="12806" max="12806" width="45.36328125" style="1" customWidth="1"/>
    <col min="12807" max="12817" width="8.36328125" style="1" customWidth="1"/>
    <col min="12818" max="13057" width="9.08984375" style="1"/>
    <col min="13058" max="13058" width="1.453125" style="1" customWidth="1"/>
    <col min="13059" max="13059" width="25.6328125" style="1" customWidth="1"/>
    <col min="13060" max="13061" width="9.08984375" style="1"/>
    <col min="13062" max="13062" width="45.36328125" style="1" customWidth="1"/>
    <col min="13063" max="13073" width="8.36328125" style="1" customWidth="1"/>
    <col min="13074" max="13313" width="9.08984375" style="1"/>
    <col min="13314" max="13314" width="1.453125" style="1" customWidth="1"/>
    <col min="13315" max="13315" width="25.6328125" style="1" customWidth="1"/>
    <col min="13316" max="13317" width="9.08984375" style="1"/>
    <col min="13318" max="13318" width="45.36328125" style="1" customWidth="1"/>
    <col min="13319" max="13329" width="8.36328125" style="1" customWidth="1"/>
    <col min="13330" max="13569" width="9.08984375" style="1"/>
    <col min="13570" max="13570" width="1.453125" style="1" customWidth="1"/>
    <col min="13571" max="13571" width="25.6328125" style="1" customWidth="1"/>
    <col min="13572" max="13573" width="9.08984375" style="1"/>
    <col min="13574" max="13574" width="45.36328125" style="1" customWidth="1"/>
    <col min="13575" max="13585" width="8.36328125" style="1" customWidth="1"/>
    <col min="13586" max="13825" width="9.08984375" style="1"/>
    <col min="13826" max="13826" width="1.453125" style="1" customWidth="1"/>
    <col min="13827" max="13827" width="25.6328125" style="1" customWidth="1"/>
    <col min="13828" max="13829" width="9.08984375" style="1"/>
    <col min="13830" max="13830" width="45.36328125" style="1" customWidth="1"/>
    <col min="13831" max="13841" width="8.36328125" style="1" customWidth="1"/>
    <col min="13842" max="14081" width="9.08984375" style="1"/>
    <col min="14082" max="14082" width="1.453125" style="1" customWidth="1"/>
    <col min="14083" max="14083" width="25.6328125" style="1" customWidth="1"/>
    <col min="14084" max="14085" width="9.08984375" style="1"/>
    <col min="14086" max="14086" width="45.36328125" style="1" customWidth="1"/>
    <col min="14087" max="14097" width="8.36328125" style="1" customWidth="1"/>
    <col min="14098" max="14337" width="9.08984375" style="1"/>
    <col min="14338" max="14338" width="1.453125" style="1" customWidth="1"/>
    <col min="14339" max="14339" width="25.6328125" style="1" customWidth="1"/>
    <col min="14340" max="14341" width="9.08984375" style="1"/>
    <col min="14342" max="14342" width="45.36328125" style="1" customWidth="1"/>
    <col min="14343" max="14353" width="8.36328125" style="1" customWidth="1"/>
    <col min="14354" max="14593" width="9.08984375" style="1"/>
    <col min="14594" max="14594" width="1.453125" style="1" customWidth="1"/>
    <col min="14595" max="14595" width="25.6328125" style="1" customWidth="1"/>
    <col min="14596" max="14597" width="9.08984375" style="1"/>
    <col min="14598" max="14598" width="45.36328125" style="1" customWidth="1"/>
    <col min="14599" max="14609" width="8.36328125" style="1" customWidth="1"/>
    <col min="14610" max="14849" width="9.08984375" style="1"/>
    <col min="14850" max="14850" width="1.453125" style="1" customWidth="1"/>
    <col min="14851" max="14851" width="25.6328125" style="1" customWidth="1"/>
    <col min="14852" max="14853" width="9.08984375" style="1"/>
    <col min="14854" max="14854" width="45.36328125" style="1" customWidth="1"/>
    <col min="14855" max="14865" width="8.36328125" style="1" customWidth="1"/>
    <col min="14866" max="15105" width="9.08984375" style="1"/>
    <col min="15106" max="15106" width="1.453125" style="1" customWidth="1"/>
    <col min="15107" max="15107" width="25.6328125" style="1" customWidth="1"/>
    <col min="15108" max="15109" width="9.08984375" style="1"/>
    <col min="15110" max="15110" width="45.36328125" style="1" customWidth="1"/>
    <col min="15111" max="15121" width="8.36328125" style="1" customWidth="1"/>
    <col min="15122" max="15361" width="9.08984375" style="1"/>
    <col min="15362" max="15362" width="1.453125" style="1" customWidth="1"/>
    <col min="15363" max="15363" width="25.6328125" style="1" customWidth="1"/>
    <col min="15364" max="15365" width="9.08984375" style="1"/>
    <col min="15366" max="15366" width="45.36328125" style="1" customWidth="1"/>
    <col min="15367" max="15377" width="8.36328125" style="1" customWidth="1"/>
    <col min="15378" max="15617" width="9.08984375" style="1"/>
    <col min="15618" max="15618" width="1.453125" style="1" customWidth="1"/>
    <col min="15619" max="15619" width="25.6328125" style="1" customWidth="1"/>
    <col min="15620" max="15621" width="9.08984375" style="1"/>
    <col min="15622" max="15622" width="45.36328125" style="1" customWidth="1"/>
    <col min="15623" max="15633" width="8.36328125" style="1" customWidth="1"/>
    <col min="15634" max="15873" width="9.08984375" style="1"/>
    <col min="15874" max="15874" width="1.453125" style="1" customWidth="1"/>
    <col min="15875" max="15875" width="25.6328125" style="1" customWidth="1"/>
    <col min="15876" max="15877" width="9.08984375" style="1"/>
    <col min="15878" max="15878" width="45.36328125" style="1" customWidth="1"/>
    <col min="15879" max="15889" width="8.36328125" style="1" customWidth="1"/>
    <col min="15890" max="16129" width="9.08984375" style="1"/>
    <col min="16130" max="16130" width="1.453125" style="1" customWidth="1"/>
    <col min="16131" max="16131" width="25.6328125" style="1" customWidth="1"/>
    <col min="16132" max="16133" width="9.08984375" style="1"/>
    <col min="16134" max="16134" width="45.36328125" style="1" customWidth="1"/>
    <col min="16135" max="16145" width="8.36328125" style="1" customWidth="1"/>
    <col min="16146" max="16384" width="9.08984375" style="1"/>
  </cols>
  <sheetData>
    <row r="2" spans="2:5" ht="13" x14ac:dyDescent="0.3">
      <c r="B2" s="54" t="s">
        <v>2</v>
      </c>
    </row>
    <row r="3" spans="2:5" ht="13" x14ac:dyDescent="0.3">
      <c r="B3" s="55" t="s">
        <v>3</v>
      </c>
      <c r="C3" s="56"/>
      <c r="D3" s="57"/>
      <c r="E3" s="174"/>
    </row>
    <row r="4" spans="2:5" x14ac:dyDescent="0.25">
      <c r="B4" s="9" t="s">
        <v>36</v>
      </c>
      <c r="D4" s="11"/>
      <c r="E4" s="75"/>
    </row>
    <row r="5" spans="2:5" x14ac:dyDescent="0.25">
      <c r="B5" s="9" t="s">
        <v>37</v>
      </c>
      <c r="D5" s="10" t="s">
        <v>38</v>
      </c>
      <c r="E5" s="75"/>
    </row>
    <row r="6" spans="2:5" x14ac:dyDescent="0.25">
      <c r="B6" s="9" t="s">
        <v>4</v>
      </c>
      <c r="D6" s="12" t="s">
        <v>5</v>
      </c>
      <c r="E6" s="75"/>
    </row>
    <row r="7" spans="2:5" x14ac:dyDescent="0.25">
      <c r="B7" s="9" t="s">
        <v>30</v>
      </c>
      <c r="D7" s="11"/>
      <c r="E7" s="75"/>
    </row>
    <row r="8" spans="2:5" x14ac:dyDescent="0.25">
      <c r="B8" s="9" t="s">
        <v>8</v>
      </c>
      <c r="D8" s="58">
        <f>'14 SABRCalibrate'!E7</f>
        <v>4.6399999999999997</v>
      </c>
      <c r="E8" s="75"/>
    </row>
    <row r="9" spans="2:5" x14ac:dyDescent="0.25">
      <c r="B9" s="9" t="s">
        <v>9</v>
      </c>
      <c r="D9" s="190">
        <f ca="1">'14 SABRCalibrate'!E8</f>
        <v>26.399998799999999</v>
      </c>
      <c r="E9" s="75"/>
    </row>
    <row r="10" spans="2:5" x14ac:dyDescent="0.25">
      <c r="B10" s="9" t="s">
        <v>10</v>
      </c>
      <c r="D10" s="59">
        <f>'14 SABRCalibrate'!E9</f>
        <v>1.56</v>
      </c>
      <c r="E10" s="75"/>
    </row>
    <row r="11" spans="2:5" x14ac:dyDescent="0.25">
      <c r="B11" s="9" t="s">
        <v>11</v>
      </c>
      <c r="D11" s="14">
        <v>2.9999999999999997E-4</v>
      </c>
      <c r="E11" s="75"/>
    </row>
    <row r="12" spans="2:5" x14ac:dyDescent="0.25">
      <c r="B12" s="9" t="s">
        <v>12</v>
      </c>
      <c r="D12" s="12">
        <f>'14 SABRCalibrate'!E11</f>
        <v>1.27</v>
      </c>
      <c r="E12" s="75"/>
    </row>
    <row r="13" spans="2:5" x14ac:dyDescent="0.25">
      <c r="B13" s="9" t="s">
        <v>18</v>
      </c>
      <c r="D13" s="59">
        <f ca="1">'14 SABRCalibrate'!B21</f>
        <v>2.6411800000000185</v>
      </c>
      <c r="E13" s="75"/>
    </row>
    <row r="14" spans="2:5" x14ac:dyDescent="0.25">
      <c r="B14" s="9" t="s">
        <v>19</v>
      </c>
      <c r="D14" s="12">
        <f ca="1">'14 SABRCalibrate'!C21</f>
        <v>-8.0870000000000095E-2</v>
      </c>
      <c r="E14" s="75"/>
    </row>
    <row r="15" spans="2:5" x14ac:dyDescent="0.25">
      <c r="B15" s="15"/>
      <c r="D15" s="16"/>
      <c r="E15" s="75"/>
    </row>
    <row r="16" spans="2:5" ht="13" x14ac:dyDescent="0.3">
      <c r="B16" s="17" t="s">
        <v>13</v>
      </c>
      <c r="D16" s="16"/>
      <c r="E16" s="75"/>
    </row>
    <row r="17" spans="2:72" x14ac:dyDescent="0.25">
      <c r="B17" s="18" t="s">
        <v>14</v>
      </c>
      <c r="C17" s="19"/>
      <c r="D17" s="60">
        <f>'14 SABRCalibrate'!E14</f>
        <v>0</v>
      </c>
      <c r="E17" s="175"/>
    </row>
    <row r="19" spans="2:72" ht="13" x14ac:dyDescent="0.3">
      <c r="B19" s="61" t="s">
        <v>40</v>
      </c>
      <c r="C19" s="62" t="s">
        <v>41</v>
      </c>
      <c r="D19" s="63"/>
      <c r="E19" s="63"/>
      <c r="F19" s="64"/>
      <c r="G19" s="35" t="s">
        <v>42</v>
      </c>
      <c r="H19" s="34"/>
      <c r="I19" s="34"/>
      <c r="J19" s="34"/>
      <c r="K19" s="34"/>
      <c r="L19" s="34"/>
      <c r="M19" s="34"/>
      <c r="N19" s="34"/>
      <c r="O19" s="34"/>
      <c r="P19" s="34"/>
      <c r="Q19" s="36"/>
    </row>
    <row r="20" spans="2:72" x14ac:dyDescent="0.25">
      <c r="B20" s="15"/>
      <c r="F20" s="65" t="s">
        <v>30</v>
      </c>
      <c r="G20" s="66">
        <f>'12 SABRBlackVol'!C27</f>
        <v>2</v>
      </c>
      <c r="H20" s="66">
        <f>'12 SABRBlackVol'!D27</f>
        <v>3</v>
      </c>
      <c r="I20" s="66">
        <f>'12 SABRBlackVol'!E27</f>
        <v>4</v>
      </c>
      <c r="J20" s="66">
        <f>'12 SABRBlackVol'!F27</f>
        <v>5</v>
      </c>
      <c r="K20" s="66">
        <f>'12 SABRBlackVol'!G27</f>
        <v>6</v>
      </c>
      <c r="L20" s="66">
        <f>'12 SABRBlackVol'!H27</f>
        <v>7</v>
      </c>
      <c r="M20" s="66">
        <f>'12 SABRBlackVol'!I27</f>
        <v>8</v>
      </c>
      <c r="N20" s="66">
        <f>'12 SABRBlackVol'!J27</f>
        <v>9</v>
      </c>
      <c r="O20" s="66">
        <f>'12 SABRBlackVol'!K27</f>
        <v>10</v>
      </c>
      <c r="P20" s="66">
        <f>'12 SABRBlackVol'!L27</f>
        <v>11</v>
      </c>
      <c r="Q20" s="66">
        <f>'12 SABRBlackVol'!M27</f>
        <v>12</v>
      </c>
      <c r="R20" s="66">
        <f>'12 SABRBlackVol'!N27</f>
        <v>13</v>
      </c>
      <c r="S20" s="66">
        <f>'12 SABRBlackVol'!O27</f>
        <v>14</v>
      </c>
      <c r="T20" s="66">
        <f>'12 SABRBlackVol'!P27</f>
        <v>15</v>
      </c>
      <c r="U20" s="66">
        <f>'12 SABRBlackVol'!Q27</f>
        <v>16</v>
      </c>
      <c r="V20" s="66">
        <f>'12 SABRBlackVol'!R27</f>
        <v>17</v>
      </c>
      <c r="W20" s="66">
        <f>'12 SABRBlackVol'!S27</f>
        <v>18</v>
      </c>
      <c r="X20" s="66">
        <f>'12 SABRBlackVol'!T27</f>
        <v>19</v>
      </c>
      <c r="Y20" s="66">
        <f>'12 SABRBlackVol'!U27</f>
        <v>20</v>
      </c>
      <c r="Z20" s="66">
        <f>'12 SABRBlackVol'!V27</f>
        <v>21</v>
      </c>
      <c r="AA20" s="66">
        <f>'12 SABRBlackVol'!W27</f>
        <v>22</v>
      </c>
      <c r="AB20" s="66">
        <f>'12 SABRBlackVol'!X27</f>
        <v>23</v>
      </c>
      <c r="AC20" s="66">
        <f>'12 SABRBlackVol'!Y27</f>
        <v>24</v>
      </c>
      <c r="AD20" s="66">
        <f>'12 SABRBlackVol'!Z27</f>
        <v>25</v>
      </c>
      <c r="AE20" s="66">
        <f>'12 SABRBlackVol'!AA27</f>
        <v>26</v>
      </c>
      <c r="AF20" s="66">
        <f>'12 SABRBlackVol'!AB27</f>
        <v>27</v>
      </c>
      <c r="AG20" s="66">
        <f>'12 SABRBlackVol'!AC27</f>
        <v>28</v>
      </c>
      <c r="AH20" s="66">
        <f>'12 SABRBlackVol'!AD27</f>
        <v>29</v>
      </c>
      <c r="AI20" s="66">
        <f>'12 SABRBlackVol'!AE27</f>
        <v>30</v>
      </c>
      <c r="AJ20" s="66">
        <f>'12 SABRBlackVol'!AF27</f>
        <v>31</v>
      </c>
      <c r="AK20" s="66">
        <f>'12 SABRBlackVol'!AG27</f>
        <v>32</v>
      </c>
      <c r="AL20" s="66">
        <f>'12 SABRBlackVol'!AH27</f>
        <v>33</v>
      </c>
      <c r="AM20" s="66">
        <f>'12 SABRBlackVol'!AI27</f>
        <v>34</v>
      </c>
      <c r="AN20" s="66">
        <f>'12 SABRBlackVol'!AJ27</f>
        <v>35</v>
      </c>
      <c r="AO20" s="66">
        <f>'12 SABRBlackVol'!AK27</f>
        <v>36</v>
      </c>
      <c r="AP20" s="66">
        <f>'12 SABRBlackVol'!AL27</f>
        <v>37</v>
      </c>
      <c r="AQ20" s="66">
        <f>'12 SABRBlackVol'!AM27</f>
        <v>38</v>
      </c>
      <c r="AR20" s="66">
        <f>'12 SABRBlackVol'!AN27</f>
        <v>39</v>
      </c>
      <c r="AS20" s="66">
        <f>'12 SABRBlackVol'!AO27</f>
        <v>40</v>
      </c>
      <c r="AT20" s="66">
        <f>'12 SABRBlackVol'!AP27</f>
        <v>41</v>
      </c>
      <c r="AU20" s="66">
        <f>'12 SABRBlackVol'!AQ27</f>
        <v>42</v>
      </c>
      <c r="AV20" s="66">
        <f>'12 SABRBlackVol'!AR27</f>
        <v>43</v>
      </c>
      <c r="AW20" s="66">
        <f>'12 SABRBlackVol'!AS27</f>
        <v>44</v>
      </c>
      <c r="AX20" s="66">
        <f>'12 SABRBlackVol'!AT27</f>
        <v>45</v>
      </c>
      <c r="AY20" s="66">
        <f>'12 SABRBlackVol'!AU27</f>
        <v>46</v>
      </c>
      <c r="AZ20" s="66">
        <f>'12 SABRBlackVol'!AV27</f>
        <v>47</v>
      </c>
      <c r="BA20" s="66">
        <f>'12 SABRBlackVol'!AW27</f>
        <v>48</v>
      </c>
      <c r="BB20" s="66">
        <f>'12 SABRBlackVol'!AX27</f>
        <v>49</v>
      </c>
      <c r="BC20" s="66">
        <f>'12 SABRBlackVol'!AY27</f>
        <v>50</v>
      </c>
      <c r="BD20" s="66">
        <f>'12 SABRBlackVol'!AZ27</f>
        <v>51</v>
      </c>
      <c r="BE20" s="66">
        <f>'12 SABRBlackVol'!BA27</f>
        <v>52</v>
      </c>
      <c r="BF20" s="66">
        <f>'12 SABRBlackVol'!BB27</f>
        <v>53</v>
      </c>
      <c r="BG20" s="66">
        <f>'12 SABRBlackVol'!BC27</f>
        <v>54</v>
      </c>
      <c r="BH20" s="66">
        <f>'12 SABRBlackVol'!BD27</f>
        <v>55</v>
      </c>
      <c r="BI20" s="66">
        <f>'12 SABRBlackVol'!BE27</f>
        <v>56</v>
      </c>
      <c r="BJ20" s="66">
        <f>'12 SABRBlackVol'!BF27</f>
        <v>57</v>
      </c>
      <c r="BK20" s="66">
        <f>'12 SABRBlackVol'!BG27</f>
        <v>58</v>
      </c>
      <c r="BL20" s="66">
        <f>'12 SABRBlackVol'!BH27</f>
        <v>59</v>
      </c>
      <c r="BM20" s="66">
        <f>'12 SABRBlackVol'!BI27</f>
        <v>60</v>
      </c>
      <c r="BN20" s="66">
        <f>'12 SABRBlackVol'!BJ27</f>
        <v>61</v>
      </c>
      <c r="BO20" s="66">
        <f>'12 SABRBlackVol'!BK27</f>
        <v>62</v>
      </c>
      <c r="BP20" s="66">
        <f>'12 SABRBlackVol'!BL27</f>
        <v>63</v>
      </c>
      <c r="BQ20" s="66">
        <f>'12 SABRBlackVol'!BM27</f>
        <v>64</v>
      </c>
      <c r="BR20" s="66">
        <f>'12 SABRBlackVol'!BN27</f>
        <v>65</v>
      </c>
      <c r="BS20" s="66">
        <f>'12 SABRBlackVol'!BO27</f>
        <v>66</v>
      </c>
      <c r="BT20" s="66">
        <f>'12 SABRBlackVol'!BP27</f>
        <v>67</v>
      </c>
    </row>
    <row r="21" spans="2:72" x14ac:dyDescent="0.25">
      <c r="B21" s="15"/>
      <c r="F21" s="65"/>
      <c r="G21" s="67"/>
      <c r="H21" s="67"/>
      <c r="I21" s="6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c r="BM21" s="67"/>
      <c r="BN21" s="67"/>
      <c r="BO21" s="67"/>
      <c r="BP21" s="67"/>
      <c r="BQ21" s="67"/>
      <c r="BR21" s="67"/>
      <c r="BS21" s="67"/>
      <c r="BT21" s="67"/>
    </row>
    <row r="22" spans="2:72" x14ac:dyDescent="0.25">
      <c r="B22" s="18"/>
      <c r="C22" s="19"/>
      <c r="D22" s="19"/>
      <c r="E22" s="19"/>
      <c r="F22" s="68" t="s">
        <v>43</v>
      </c>
      <c r="G22" s="52" cm="1">
        <f t="array" aca="1" ref="G22" ca="1">[2]!HoadleySABRBlackVol($D$6,G20,$D$8,$D$9,$D$10,$D$11,$D$12,$D$13,$D$14)</f>
        <v>1.8535289824058796</v>
      </c>
      <c r="H22" s="52" cm="1">
        <f t="array" aca="1" ref="H22" ca="1">[2]!HoadleySABRBlackVol($D$6,H20,$D$8,$D$9,$D$10,$D$11,$D$12,$D$13,$D$14)</f>
        <v>1.6470823028891457</v>
      </c>
      <c r="I22" s="52" cm="1">
        <f t="array" aca="1" ref="I22" ca="1">[2]!HoadleySABRBlackVol($D$6,I20,$D$8,$D$9,$D$10,$D$11,$D$12,$D$13,$D$14)</f>
        <v>1.5625188347746042</v>
      </c>
      <c r="J22" s="52" cm="1">
        <f t="array" aca="1" ref="J22" ca="1">[2]!HoadleySABRBlackVol($D$6,J20,$D$8,$D$9,$D$10,$D$11,$D$12,$D$13,$D$14)</f>
        <v>1.5718334755539116</v>
      </c>
      <c r="K22" s="52" cm="1">
        <f t="array" aca="1" ref="K22" ca="1">[2]!HoadleySABRBlackVol($D$6,K20,$D$8,$D$9,$D$10,$D$11,$D$12,$D$13,$D$14)</f>
        <v>1.6359747911087381</v>
      </c>
      <c r="L22" s="52" cm="1">
        <f t="array" aca="1" ref="L22" ca="1">[2]!HoadleySABRBlackVol($D$6,L20,$D$8,$D$9,$D$10,$D$11,$D$12,$D$13,$D$14)</f>
        <v>1.7218729769524785</v>
      </c>
      <c r="M22" s="52" cm="1">
        <f t="array" aca="1" ref="M22" ca="1">[2]!HoadleySABRBlackVol($D$6,M20,$D$8,$D$9,$D$10,$D$11,$D$12,$D$13,$D$14)</f>
        <v>1.8123856408833945</v>
      </c>
      <c r="N22" s="52" cm="1">
        <f t="array" aca="1" ref="N22" ca="1">[2]!HoadleySABRBlackVol($D$6,N20,$D$8,$D$9,$D$10,$D$11,$D$12,$D$13,$D$14)</f>
        <v>1.9005589575854867</v>
      </c>
      <c r="O22" s="52" cm="1">
        <f t="array" aca="1" ref="O22" ca="1">[2]!HoadleySABRBlackVol($D$6,O20,$D$8,$D$9,$D$10,$D$11,$D$12,$D$13,$D$14)</f>
        <v>1.9839828255017808</v>
      </c>
      <c r="P22" s="52" cm="1">
        <f t="array" aca="1" ref="P22" ca="1">[2]!HoadleySABRBlackVol($D$6,P20,$D$8,$D$9,$D$10,$D$11,$D$12,$D$13,$D$14)</f>
        <v>2.0620749355530714</v>
      </c>
      <c r="Q22" s="52" cm="1">
        <f t="array" aca="1" ref="Q22" ca="1">[2]!HoadleySABRBlackVol($D$6,Q20,$D$8,$D$9,$D$10,$D$11,$D$12,$D$13,$D$14)</f>
        <v>2.134958553149096</v>
      </c>
      <c r="R22" s="52" cm="1">
        <f t="array" aca="1" ref="R22" ca="1">[2]!HoadleySABRBlackVol($D$6,R20,$D$8,$D$9,$D$10,$D$11,$D$12,$D$13,$D$14)</f>
        <v>2.2030083895370596</v>
      </c>
      <c r="S22" s="52" cm="1">
        <f t="array" aca="1" ref="S22" ca="1">[2]!HoadleySABRBlackVol($D$6,S20,$D$8,$D$9,$D$10,$D$11,$D$12,$D$13,$D$14)</f>
        <v>2.2666660716561626</v>
      </c>
      <c r="T22" s="52" cm="1">
        <f t="array" aca="1" ref="T22" ca="1">[2]!HoadleySABRBlackVol($D$6,T20,$D$8,$D$9,$D$10,$D$11,$D$12,$D$13,$D$14)</f>
        <v>2.3263661784770941</v>
      </c>
      <c r="U22" s="52" cm="1">
        <f t="array" aca="1" ref="U22" ca="1">[2]!HoadleySABRBlackVol($D$6,U20,$D$8,$D$9,$D$10,$D$11,$D$12,$D$13,$D$14)</f>
        <v>2.3825086730518068</v>
      </c>
      <c r="V22" s="52" cm="1">
        <f t="array" aca="1" ref="V22" ca="1">[2]!HoadleySABRBlackVol($D$6,V20,$D$8,$D$9,$D$10,$D$11,$D$12,$D$13,$D$14)</f>
        <v>2.4354510114917574</v>
      </c>
      <c r="W22" s="52" cm="1">
        <f t="array" aca="1" ref="W22" ca="1">[2]!HoadleySABRBlackVol($D$6,W20,$D$8,$D$9,$D$10,$D$11,$D$12,$D$13,$D$14)</f>
        <v>2.4855084581565565</v>
      </c>
      <c r="X22" s="52" cm="1">
        <f t="array" aca="1" ref="X22" ca="1">[2]!HoadleySABRBlackVol($D$6,X20,$D$8,$D$9,$D$10,$D$11,$D$12,$D$13,$D$14)</f>
        <v>2.5329575782287677</v>
      </c>
      <c r="Y22" s="52" cm="1">
        <f t="array" aca="1" ref="Y22" ca="1">[2]!HoadleySABRBlackVol($D$6,Y20,$D$8,$D$9,$D$10,$D$11,$D$12,$D$13,$D$14)</f>
        <v>2.5780406927915163</v>
      </c>
      <c r="Z22" s="52" cm="1">
        <f t="array" aca="1" ref="Z22" ca="1">[2]!HoadleySABRBlackVol($D$6,Z20,$D$8,$D$9,$D$10,$D$11,$D$12,$D$13,$D$14)</f>
        <v>2.6209703423912325</v>
      </c>
      <c r="AA22" s="52" cm="1">
        <f t="array" aca="1" ref="AA22" ca="1">[2]!HoadleySABRBlackVol($D$6,AA20,$D$8,$D$9,$D$10,$D$11,$D$12,$D$13,$D$14)</f>
        <v>2.6619333781615167</v>
      </c>
      <c r="AB22" s="52" cm="1">
        <f t="array" aca="1" ref="AB22" ca="1">[2]!HoadleySABRBlackVol($D$6,AB20,$D$8,$D$9,$D$10,$D$11,$D$12,$D$13,$D$14)</f>
        <v>2.7010945596951572</v>
      </c>
      <c r="AC22" s="52" cm="1">
        <f t="array" aca="1" ref="AC22" ca="1">[2]!HoadleySABRBlackVol($D$6,AC20,$D$8,$D$9,$D$10,$D$11,$D$12,$D$13,$D$14)</f>
        <v>2.7385996538107591</v>
      </c>
      <c r="AD22" s="52" cm="1">
        <f t="array" aca="1" ref="AD22" ca="1">[2]!HoadleySABRBlackVol($D$6,AD20,$D$8,$D$9,$D$10,$D$11,$D$12,$D$13,$D$14)</f>
        <v>2.7745780754334817</v>
      </c>
      <c r="AE22" s="52" cm="1">
        <f t="array" aca="1" ref="AE22" ca="1">[2]!HoadleySABRBlackVol($D$6,AE20,$D$8,$D$9,$D$10,$D$11,$D$12,$D$13,$D$14)</f>
        <v>2.809145127325051</v>
      </c>
      <c r="AF22" s="52" cm="1">
        <f t="array" aca="1" ref="AF22" ca="1">[2]!HoadleySABRBlackVol($D$6,AF20,$D$8,$D$9,$D$10,$D$11,$D$12,$D$13,$D$14)</f>
        <v>2.8424038966731011</v>
      </c>
      <c r="AG22" s="52" cm="1">
        <f t="array" aca="1" ref="AG22" ca="1">[2]!HoadleySABRBlackVol($D$6,AG20,$D$8,$D$9,$D$10,$D$11,$D$12,$D$13,$D$14)</f>
        <v>2.8744468618681127</v>
      </c>
      <c r="AH22" s="52" cm="1">
        <f t="array" aca="1" ref="AH22" ca="1">[2]!HoadleySABRBlackVol($D$6,AH20,$D$8,$D$9,$D$10,$D$11,$D$12,$D$13,$D$14)</f>
        <v>2.9053572560854346</v>
      </c>
      <c r="AI22" s="52" cm="1">
        <f t="array" aca="1" ref="AI22" ca="1">[2]!HoadleySABRBlackVol($D$6,AI20,$D$8,$D$9,$D$10,$D$11,$D$12,$D$13,$D$14)</f>
        <v>2.9352102273524556</v>
      </c>
      <c r="AJ22" s="52" cm="1">
        <f t="array" aca="1" ref="AJ22" ca="1">[2]!HoadleySABRBlackVol($D$6,AJ20,$D$8,$D$9,$D$10,$D$11,$D$12,$D$13,$D$14)</f>
        <v>2.9640738283851498</v>
      </c>
      <c r="AK22" s="52" cm="1">
        <f t="array" aca="1" ref="AK22" ca="1">[2]!HoadleySABRBlackVol($D$6,AK20,$D$8,$D$9,$D$10,$D$11,$D$12,$D$13,$D$14)</f>
        <v>2.9920098638932511</v>
      </c>
      <c r="AL22" s="52" cm="1">
        <f t="array" aca="1" ref="AL22" ca="1">[2]!HoadleySABRBlackVol($D$6,AL20,$D$8,$D$9,$D$10,$D$11,$D$12,$D$13,$D$14)</f>
        <v>3.0190746183162571</v>
      </c>
      <c r="AM22" s="52" cm="1">
        <f t="array" aca="1" ref="AM22" ca="1">[2]!HoadleySABRBlackVol($D$6,AM20,$D$8,$D$9,$D$10,$D$11,$D$12,$D$13,$D$14)</f>
        <v>3.0453194829999588</v>
      </c>
      <c r="AN22" s="52" cm="1">
        <f t="array" aca="1" ref="AN22" ca="1">[2]!HoadleySABRBlackVol($D$6,AN20,$D$8,$D$9,$D$10,$D$11,$D$12,$D$13,$D$14)</f>
        <v>3.0707914985556641</v>
      </c>
      <c r="AO22" s="52" cm="1">
        <f t="array" aca="1" ref="AO22" ca="1">[2]!HoadleySABRBlackVol($D$6,AO20,$D$8,$D$9,$D$10,$D$11,$D$12,$D$13,$D$14)</f>
        <v>3.0955338254560427</v>
      </c>
      <c r="AP22" s="52" cm="1">
        <f t="array" aca="1" ref="AP22" ca="1">[2]!HoadleySABRBlackVol($D$6,AP20,$D$8,$D$9,$D$10,$D$11,$D$12,$D$13,$D$14)</f>
        <v>3.1195861537150109</v>
      </c>
      <c r="AQ22" s="52" cm="1">
        <f t="array" aca="1" ref="AQ22" ca="1">[2]!HoadleySABRBlackVol($D$6,AQ20,$D$8,$D$9,$D$10,$D$11,$D$12,$D$13,$D$14)</f>
        <v>3.1429850606882987</v>
      </c>
      <c r="AR22" s="52" cm="1">
        <f t="array" aca="1" ref="AR22" ca="1">[2]!HoadleySABRBlackVol($D$6,AR20,$D$8,$D$9,$D$10,$D$11,$D$12,$D$13,$D$14)</f>
        <v>3.165764324544408</v>
      </c>
      <c r="AS22" s="52" cm="1">
        <f t="array" aca="1" ref="AS22" ca="1">[2]!HoadleySABRBlackVol($D$6,AS20,$D$8,$D$9,$D$10,$D$11,$D$12,$D$13,$D$14)</f>
        <v>3.1879551997324591</v>
      </c>
      <c r="AT22" s="52" cm="1">
        <f t="array" aca="1" ref="AT22" ca="1">[2]!HoadleySABRBlackVol($D$6,AT20,$D$8,$D$9,$D$10,$D$11,$D$12,$D$13,$D$14)</f>
        <v>3.2095866597651366</v>
      </c>
      <c r="AU22" s="52" cm="1">
        <f t="array" aca="1" ref="AU22" ca="1">[2]!HoadleySABRBlackVol($D$6,AU20,$D$8,$D$9,$D$10,$D$11,$D$12,$D$13,$D$14)</f>
        <v>3.230685611801607</v>
      </c>
      <c r="AV22" s="52" cm="1">
        <f t="array" aca="1" ref="AV22" ca="1">[2]!HoadleySABRBlackVol($D$6,AV20,$D$8,$D$9,$D$10,$D$11,$D$12,$D$13,$D$14)</f>
        <v>3.251277086824599</v>
      </c>
      <c r="AW22" s="52" cm="1">
        <f t="array" aca="1" ref="AW22" ca="1">[2]!HoadleySABRBlackVol($D$6,AW20,$D$8,$D$9,$D$10,$D$11,$D$12,$D$13,$D$14)</f>
        <v>3.2713844086318047</v>
      </c>
      <c r="AX22" s="52" cm="1">
        <f t="array" aca="1" ref="AX22" ca="1">[2]!HoadleySABRBlackVol($D$6,AX20,$D$8,$D$9,$D$10,$D$11,$D$12,$D$13,$D$14)</f>
        <v>3.2910293443830643</v>
      </c>
      <c r="AY22" s="52" cm="1">
        <f t="array" aca="1" ref="AY22" ca="1">[2]!HoadleySABRBlackVol($D$6,AY20,$D$8,$D$9,$D$10,$D$11,$D$12,$D$13,$D$14)</f>
        <v>3.3102322390446606</v>
      </c>
      <c r="AZ22" s="52" cm="1">
        <f t="array" aca="1" ref="AZ22" ca="1">[2]!HoadleySABRBlackVol($D$6,AZ20,$D$8,$D$9,$D$10,$D$11,$D$12,$D$13,$D$14)</f>
        <v>3.3290121357361055</v>
      </c>
      <c r="BA22" s="52" cm="1">
        <f t="array" aca="1" ref="BA22" ca="1">[2]!HoadleySABRBlackVol($D$6,BA20,$D$8,$D$9,$D$10,$D$11,$D$12,$D$13,$D$14)</f>
        <v>3.3473868837022804</v>
      </c>
      <c r="BB22" s="52" cm="1">
        <f t="array" aca="1" ref="BB22" ca="1">[2]!HoadleySABRBlackVol($D$6,BB20,$D$8,$D$9,$D$10,$D$11,$D$12,$D$13,$D$14)</f>
        <v>3.3653732353954893</v>
      </c>
      <c r="BC22" s="52" cm="1">
        <f t="array" aca="1" ref="BC22" ca="1">[2]!HoadleySABRBlackVol($D$6,BC20,$D$8,$D$9,$D$10,$D$11,$D$12,$D$13,$D$14)</f>
        <v>3.3829869339497574</v>
      </c>
      <c r="BD22" s="52" cm="1">
        <f t="array" aca="1" ref="BD22" ca="1">[2]!HoadleySABRBlackVol($D$6,BD20,$D$8,$D$9,$D$10,$D$11,$D$12,$D$13,$D$14)</f>
        <v>3.4002427921586351</v>
      </c>
      <c r="BE22" s="52" cm="1">
        <f t="array" aca="1" ref="BE22" ca="1">[2]!HoadleySABRBlackVol($D$6,BE20,$D$8,$D$9,$D$10,$D$11,$D$12,$D$13,$D$14)</f>
        <v>3.4171547639215154</v>
      </c>
      <c r="BF22" s="52" cm="1">
        <f t="array" aca="1" ref="BF22" ca="1">[2]!HoadleySABRBlackVol($D$6,BF20,$D$8,$D$9,$D$10,$D$11,$D$12,$D$13,$D$14)</f>
        <v>3.4337360089991069</v>
      </c>
      <c r="BG22" s="52" cm="1">
        <f t="array" aca="1" ref="BG22" ca="1">[2]!HoadleySABRBlackVol($D$6,BG20,$D$8,$D$9,$D$10,$D$11,$D$12,$D$13,$D$14)</f>
        <v>3.4499989518117138</v>
      </c>
      <c r="BH22" s="52" cm="1">
        <f t="array" aca="1" ref="BH22" ca="1">[2]!HoadleySABRBlackVol($D$6,BH20,$D$8,$D$9,$D$10,$D$11,$D$12,$D$13,$D$14)</f>
        <v>3.4659553349226129</v>
      </c>
      <c r="BI22" s="52" cm="1">
        <f t="array" aca="1" ref="BI22" ca="1">[2]!HoadleySABRBlackVol($D$6,BI20,$D$8,$D$9,$D$10,$D$11,$D$12,$D$13,$D$14)</f>
        <v>3.4816162677697053</v>
      </c>
      <c r="BJ22" s="52" cm="1">
        <f t="array" aca="1" ref="BJ22" ca="1">[2]!HoadleySABRBlackVol($D$6,BJ20,$D$8,$D$9,$D$10,$D$11,$D$12,$D$13,$D$14)</f>
        <v>3.4969922711408095</v>
      </c>
      <c r="BK22" s="52" cm="1">
        <f t="array" aca="1" ref="BK22" ca="1">[2]!HoadleySABRBlackVol($D$6,BK20,$D$8,$D$9,$D$10,$D$11,$D$12,$D$13,$D$14)</f>
        <v>3.5120933178288509</v>
      </c>
      <c r="BL22" s="52" cm="1">
        <f t="array" aca="1" ref="BL22" ca="1">[2]!HoadleySABRBlackVol($D$6,BL20,$D$8,$D$9,$D$10,$D$11,$D$12,$D$13,$D$14)</f>
        <v>3.5269288698523096</v>
      </c>
      <c r="BM22" s="52" cm="1">
        <f t="array" aca="1" ref="BM22" ca="1">[2]!HoadleySABRBlackVol($D$6,BM20,$D$8,$D$9,$D$10,$D$11,$D$12,$D$13,$D$14)</f>
        <v>3.5415079125818774</v>
      </c>
      <c r="BN22" s="52" cm="1">
        <f t="array" aca="1" ref="BN22" ca="1">[2]!HoadleySABRBlackVol($D$6,BN20,$D$8,$D$9,$D$10,$D$11,$D$12,$D$13,$D$14)</f>
        <v>3.5558389860755022</v>
      </c>
      <c r="BO22" s="52" cm="1">
        <f t="array" aca="1" ref="BO22" ca="1">[2]!HoadleySABRBlackVol($D$6,BO20,$D$8,$D$9,$D$10,$D$11,$D$12,$D$13,$D$14)</f>
        <v>3.5699302138904798</v>
      </c>
      <c r="BP22" s="52" cm="1">
        <f t="array" aca="1" ref="BP22" ca="1">[2]!HoadleySABRBlackVol($D$6,BP20,$D$8,$D$9,$D$10,$D$11,$D$12,$D$13,$D$14)</f>
        <v>3.5837893296113998</v>
      </c>
      <c r="BQ22" s="52" cm="1">
        <f t="array" aca="1" ref="BQ22" ca="1">[2]!HoadleySABRBlackVol($D$6,BQ20,$D$8,$D$9,$D$10,$D$11,$D$12,$D$13,$D$14)</f>
        <v>3.5974237013071853</v>
      </c>
      <c r="BR22" s="52" cm="1">
        <f t="array" aca="1" ref="BR22" ca="1">[2]!HoadleySABRBlackVol($D$6,BR20,$D$8,$D$9,$D$10,$D$11,$D$12,$D$13,$D$14)</f>
        <v>3.6108403541074714</v>
      </c>
      <c r="BS22" s="52" cm="1">
        <f t="array" aca="1" ref="BS22" ca="1">[2]!HoadleySABRBlackVol($D$6,BS20,$D$8,$D$9,$D$10,$D$11,$D$12,$D$13,$D$14)</f>
        <v>3.6240459910686496</v>
      </c>
      <c r="BT22" s="52" cm="1">
        <f t="array" aca="1" ref="BT22" ca="1">[2]!HoadleySABRBlackVol($D$6,BT20,$D$8,$D$9,$D$10,$D$11,$D$12,$D$13,$D$14)</f>
        <v>3.6370470124822569</v>
      </c>
    </row>
    <row r="23" spans="2:72" x14ac:dyDescent="0.25">
      <c r="B23" s="15"/>
      <c r="G23" s="15"/>
      <c r="Q23" s="69"/>
      <c r="R23" s="69"/>
      <c r="S23" s="69"/>
      <c r="T23" s="69"/>
      <c r="U23" s="69"/>
      <c r="V23" s="69"/>
      <c r="W23" s="69"/>
      <c r="X23" s="69"/>
      <c r="Y23" s="69"/>
      <c r="Z23" s="69"/>
      <c r="AA23" s="69"/>
      <c r="AB23" s="69"/>
      <c r="AC23" s="69"/>
      <c r="AD23" s="69"/>
      <c r="AE23" s="69"/>
      <c r="AF23" s="69"/>
      <c r="AG23" s="69"/>
      <c r="AH23" s="69"/>
      <c r="AI23" s="69"/>
      <c r="AJ23" s="69"/>
      <c r="AK23" s="69"/>
      <c r="AL23" s="69"/>
      <c r="AM23" s="69"/>
      <c r="AN23" s="69"/>
      <c r="AO23" s="69"/>
      <c r="AP23" s="69"/>
      <c r="AQ23" s="69"/>
      <c r="AR23" s="69"/>
      <c r="AS23" s="69"/>
      <c r="AT23" s="69"/>
      <c r="AU23" s="69"/>
      <c r="AV23" s="69"/>
      <c r="AW23" s="69"/>
      <c r="AX23" s="69"/>
      <c r="AY23" s="69"/>
      <c r="AZ23" s="69"/>
      <c r="BA23" s="69"/>
      <c r="BB23" s="69"/>
      <c r="BC23" s="69"/>
      <c r="BD23" s="69"/>
      <c r="BE23" s="69"/>
      <c r="BF23" s="69"/>
      <c r="BG23" s="69"/>
      <c r="BH23" s="69"/>
      <c r="BI23" s="69"/>
      <c r="BJ23" s="69"/>
      <c r="BK23" s="69"/>
      <c r="BL23" s="69"/>
      <c r="BM23" s="69"/>
      <c r="BN23" s="69"/>
      <c r="BO23" s="69"/>
      <c r="BP23" s="69"/>
      <c r="BQ23" s="69"/>
      <c r="BR23" s="69"/>
      <c r="BS23" s="69"/>
      <c r="BT23" s="69"/>
    </row>
    <row r="24" spans="2:72" x14ac:dyDescent="0.25">
      <c r="B24" s="9" t="s">
        <v>44</v>
      </c>
      <c r="C24" s="70" t="s">
        <v>45</v>
      </c>
      <c r="F24" s="65" t="s">
        <v>46</v>
      </c>
      <c r="G24" s="71" cm="1">
        <f t="array" aca="1" ref="G24" ca="1">[2]!HoadleySABROption($C24,$D$5,$D$6,G$20,$D$8,$D$9,$D$10,$D$11,$D$12,$D$13,$D$14)</f>
        <v>2.6679598571301026</v>
      </c>
      <c r="H24" s="71" cm="1">
        <f t="array" aca="1" ref="H24" ca="1">[2]!HoadleySABROption($C24,$D$5,$D$6,H$20,$D$8,$D$9,$D$10,$D$11,$D$12,$D$13,$D$14)</f>
        <v>1.7796790898783217</v>
      </c>
      <c r="I24" s="71" cm="1">
        <f t="array" aca="1" ref="I24" ca="1">[2]!HoadleySABROption($C24,$D$5,$D$6,I$20,$D$8,$D$9,$D$10,$D$11,$D$12,$D$13,$D$14)</f>
        <v>1.0826135123903857</v>
      </c>
      <c r="J24" s="71" cm="1">
        <f t="array" aca="1" ref="J24" ca="1">[2]!HoadleySABROption($C24,$D$5,$D$6,J$20,$D$8,$D$9,$D$10,$D$11,$D$12,$D$13,$D$14)</f>
        <v>0.6392714660256259</v>
      </c>
      <c r="K24" s="71" cm="1">
        <f t="array" aca="1" ref="K24" ca="1">[2]!HoadleySABROption($C24,$D$5,$D$6,K$20,$D$8,$D$9,$D$10,$D$11,$D$12,$D$13,$D$14)</f>
        <v>0.39659103308455346</v>
      </c>
      <c r="L24" s="71" cm="1">
        <f t="array" aca="1" ref="L24" ca="1">[2]!HoadleySABROption($C24,$D$5,$D$6,L$20,$D$8,$D$9,$D$10,$D$11,$D$12,$D$13,$D$14)</f>
        <v>0.266581923631238</v>
      </c>
      <c r="M24" s="71" cm="1">
        <f t="array" aca="1" ref="M24" ca="1">[2]!HoadleySABROption($C24,$D$5,$D$6,M$20,$D$8,$D$9,$D$10,$D$11,$D$12,$D$13,$D$14)</f>
        <v>0.19300936516419931</v>
      </c>
      <c r="N24" s="71" cm="1">
        <f t="array" aca="1" ref="N24" ca="1">[2]!HoadleySABROption($C24,$D$5,$D$6,N$20,$D$8,$D$9,$D$10,$D$11,$D$12,$D$13,$D$14)</f>
        <v>0.14825002700393133</v>
      </c>
      <c r="O24" s="71" cm="1">
        <f t="array" aca="1" ref="O24" ca="1">[2]!HoadleySABROption($C24,$D$5,$D$6,O$20,$D$8,$D$9,$D$10,$D$11,$D$12,$D$13,$D$14)</f>
        <v>0.11914822195262997</v>
      </c>
      <c r="P24" s="71" cm="1">
        <f t="array" aca="1" ref="P24" ca="1">[2]!HoadleySABROption($C24,$D$5,$D$6,P$20,$D$8,$D$9,$D$10,$D$11,$D$12,$D$13,$D$14)</f>
        <v>9.9144716253928289E-2</v>
      </c>
      <c r="Q24" s="71" cm="1">
        <f t="array" aca="1" ref="Q24" ca="1">[2]!HoadleySABROption($C24,$D$5,$D$6,Q$20,$D$8,$D$9,$D$10,$D$11,$D$12,$D$13,$D$14)</f>
        <v>8.4755966133841495E-2</v>
      </c>
      <c r="R24" s="71" cm="1">
        <f t="array" aca="1" ref="R24" ca="1">[2]!HoadleySABROption($C24,$D$5,$D$6,R$20,$D$8,$D$9,$D$10,$D$11,$D$12,$D$13,$D$14)</f>
        <v>7.4014726692304966E-2</v>
      </c>
      <c r="S24" s="71" cm="1">
        <f t="array" aca="1" ref="S24" ca="1">[2]!HoadleySABROption($C24,$D$5,$D$6,S$20,$D$8,$D$9,$D$10,$D$11,$D$12,$D$13,$D$14)</f>
        <v>6.5747693231927612E-2</v>
      </c>
      <c r="T24" s="71" cm="1">
        <f t="array" aca="1" ref="T24" ca="1">[2]!HoadleySABROption($C24,$D$5,$D$6,T$20,$D$8,$D$9,$D$10,$D$11,$D$12,$D$13,$D$14)</f>
        <v>5.9221240394727238E-2</v>
      </c>
      <c r="U24" s="71" cm="1">
        <f t="array" aca="1" ref="U24" ca="1">[2]!HoadleySABROption($C24,$D$5,$D$6,U$20,$D$8,$D$9,$D$10,$D$11,$D$12,$D$13,$D$14)</f>
        <v>5.3957663466199887E-2</v>
      </c>
      <c r="V24" s="71" cm="1">
        <f t="array" aca="1" ref="V24" ca="1">[2]!HoadleySABROption($C24,$D$5,$D$6,V$20,$D$8,$D$9,$D$10,$D$11,$D$12,$D$13,$D$14)</f>
        <v>4.9634849838744458E-2</v>
      </c>
      <c r="W24" s="71" cm="1">
        <f t="array" aca="1" ref="W24" ca="1">[2]!HoadleySABROption($C24,$D$5,$D$6,W$20,$D$8,$D$9,$D$10,$D$11,$D$12,$D$13,$D$14)</f>
        <v>4.6028944085311864E-2</v>
      </c>
      <c r="X24" s="71" cm="1">
        <f t="array" aca="1" ref="X24" ca="1">[2]!HoadleySABROption($C24,$D$5,$D$6,X$20,$D$8,$D$9,$D$10,$D$11,$D$12,$D$13,$D$14)</f>
        <v>4.2980234869631574E-2</v>
      </c>
      <c r="Y24" s="71" cm="1">
        <f t="array" aca="1" ref="Y24" ca="1">[2]!HoadleySABROption($C24,$D$5,$D$6,Y$20,$D$8,$D$9,$D$10,$D$11,$D$12,$D$13,$D$14)</f>
        <v>4.0372123234483748E-2</v>
      </c>
      <c r="Z24" s="71" cm="1">
        <f t="array" aca="1" ref="Z24" ca="1">[2]!HoadleySABROption($C24,$D$5,$D$6,Z$20,$D$8,$D$9,$D$10,$D$11,$D$12,$D$13,$D$14)</f>
        <v>3.8117741296171299E-2</v>
      </c>
      <c r="AA24" s="71" cm="1">
        <f t="array" aca="1" ref="AA24" ca="1">[2]!HoadleySABROption($C24,$D$5,$D$6,AA$20,$D$8,$D$9,$D$10,$D$11,$D$12,$D$13,$D$14)</f>
        <v>3.6151197105446529E-2</v>
      </c>
      <c r="AB24" s="71" cm="1">
        <f t="array" aca="1" ref="AB24" ca="1">[2]!HoadleySABROption($C24,$D$5,$D$6,AB$20,$D$8,$D$9,$D$10,$D$11,$D$12,$D$13,$D$14)</f>
        <v>3.4421701679607813E-2</v>
      </c>
      <c r="AC24" s="71" cm="1">
        <f t="array" aca="1" ref="AC24" ca="1">[2]!HoadleySABROption($C24,$D$5,$D$6,AC$20,$D$8,$D$9,$D$10,$D$11,$D$12,$D$13,$D$14)</f>
        <v>3.2889540372747501E-2</v>
      </c>
      <c r="AD24" s="71" cm="1">
        <f t="array" aca="1" ref="AD24" ca="1">[2]!HoadleySABROption($C24,$D$5,$D$6,AD$20,$D$8,$D$9,$D$10,$D$11,$D$12,$D$13,$D$14)</f>
        <v>3.1523253236547311E-2</v>
      </c>
      <c r="AE24" s="71" cm="1">
        <f t="array" aca="1" ref="AE24" ca="1">[2]!HoadleySABROption($C24,$D$5,$D$6,AE$20,$D$8,$D$9,$D$10,$D$11,$D$12,$D$13,$D$14)</f>
        <v>3.0297625333363741E-2</v>
      </c>
      <c r="AF24" s="71" cm="1">
        <f t="array" aca="1" ref="AF24" ca="1">[2]!HoadleySABROption($C24,$D$5,$D$6,AF$20,$D$8,$D$9,$D$10,$D$11,$D$12,$D$13,$D$14)</f>
        <v>2.9192230492722307E-2</v>
      </c>
      <c r="AG24" s="71" cm="1">
        <f t="array" aca="1" ref="AG24" ca="1">[2]!HoadleySABROption($C24,$D$5,$D$6,AG$20,$D$8,$D$9,$D$10,$D$11,$D$12,$D$13,$D$14)</f>
        <v>2.8190360100853434E-2</v>
      </c>
      <c r="AH24" s="71" cm="1">
        <f t="array" aca="1" ref="AH24" ca="1">[2]!HoadleySABROption($C24,$D$5,$D$6,AH$20,$D$8,$D$9,$D$10,$D$11,$D$12,$D$13,$D$14)</f>
        <v>2.7278224198956581E-2</v>
      </c>
      <c r="AI24" s="71" cm="1">
        <f t="array" aca="1" ref="AI24" ca="1">[2]!HoadleySABROption($C24,$D$5,$D$6,AI$20,$D$8,$D$9,$D$10,$D$11,$D$12,$D$13,$D$14)</f>
        <v>2.6444348092708864E-2</v>
      </c>
      <c r="AJ24" s="71" cm="1">
        <f t="array" aca="1" ref="AJ24" ca="1">[2]!HoadleySABROption($C24,$D$5,$D$6,AJ$20,$D$8,$D$9,$D$10,$D$11,$D$12,$D$13,$D$14)</f>
        <v>2.5679111294480746E-2</v>
      </c>
      <c r="AK24" s="71" cm="1">
        <f t="array" aca="1" ref="AK24" ca="1">[2]!HoadleySABROption($C24,$D$5,$D$6,AK$20,$D$8,$D$9,$D$10,$D$11,$D$12,$D$13,$D$14)</f>
        <v>2.4974391418654488E-2</v>
      </c>
      <c r="AL24" s="71" cm="1">
        <f t="array" aca="1" ref="AL24" ca="1">[2]!HoadleySABROption($C24,$D$5,$D$6,AL$20,$D$8,$D$9,$D$10,$D$11,$D$12,$D$13,$D$14)</f>
        <v>2.4323286389008426E-2</v>
      </c>
      <c r="AM24" s="71" cm="1">
        <f t="array" aca="1" ref="AM24" ca="1">[2]!HoadleySABROption($C24,$D$5,$D$6,AM$20,$D$8,$D$9,$D$10,$D$11,$D$12,$D$13,$D$14)</f>
        <v>2.3719895725193774E-2</v>
      </c>
      <c r="AN24" s="71" cm="1">
        <f t="array" aca="1" ref="AN24" ca="1">[2]!HoadleySABROption($C24,$D$5,$D$6,AN$20,$D$8,$D$9,$D$10,$D$11,$D$12,$D$13,$D$14)</f>
        <v>2.3159146856668165E-2</v>
      </c>
      <c r="AO24" s="71" cm="1">
        <f t="array" aca="1" ref="AO24" ca="1">[2]!HoadleySABROption($C24,$D$5,$D$6,AO$20,$D$8,$D$9,$D$10,$D$11,$D$12,$D$13,$D$14)</f>
        <v>2.2636656083105829E-2</v>
      </c>
      <c r="AP24" s="71" cm="1">
        <f t="array" aca="1" ref="AP24" ca="1">[2]!HoadleySABROption($C24,$D$5,$D$6,AP$20,$D$8,$D$9,$D$10,$D$11,$D$12,$D$13,$D$14)</f>
        <v>2.2148616432041735E-2</v>
      </c>
      <c r="AQ24" s="71" cm="1">
        <f t="array" aca="1" ref="AQ24" ca="1">[2]!HoadleySABROption($C24,$D$5,$D$6,AQ$20,$D$8,$D$9,$D$10,$D$11,$D$12,$D$13,$D$14)</f>
        <v>2.1691706572552285E-2</v>
      </c>
      <c r="AR24" s="71" cm="1">
        <f t="array" aca="1" ref="AR24" ca="1">[2]!HoadleySABROption($C24,$D$5,$D$6,AR$20,$D$8,$D$9,$D$10,$D$11,$D$12,$D$13,$D$14)</f>
        <v>2.1263016341729366E-2</v>
      </c>
      <c r="AS24" s="71" cm="1">
        <f t="array" aca="1" ref="AS24" ca="1">[2]!HoadleySABROption($C24,$D$5,$D$6,AS$20,$D$8,$D$9,$D$10,$D$11,$D$12,$D$13,$D$14)</f>
        <v>2.0859985475034273E-2</v>
      </c>
      <c r="AT24" s="71" cm="1">
        <f t="array" aca="1" ref="AT24" ca="1">[2]!HoadleySABROption($C24,$D$5,$D$6,AT$20,$D$8,$D$9,$D$10,$D$11,$D$12,$D$13,$D$14)</f>
        <v>2.048035290401834E-2</v>
      </c>
      <c r="AU24" s="71" cm="1">
        <f t="array" aca="1" ref="AU24" ca="1">[2]!HoadleySABROption($C24,$D$5,$D$6,AU$20,$D$8,$D$9,$D$10,$D$11,$D$12,$D$13,$D$14)</f>
        <v>2.0122114566754227E-2</v>
      </c>
      <c r="AV24" s="71" cm="1">
        <f t="array" aca="1" ref="AV24" ca="1">[2]!HoadleySABROption($C24,$D$5,$D$6,AV$20,$D$8,$D$9,$D$10,$D$11,$D$12,$D$13,$D$14)</f>
        <v>1.9783488118239448E-2</v>
      </c>
      <c r="AW24" s="71" cm="1">
        <f t="array" aca="1" ref="AW24" ca="1">[2]!HoadleySABROption($C24,$D$5,$D$6,AW$20,$D$8,$D$9,$D$10,$D$11,$D$12,$D$13,$D$14)</f>
        <v>1.9462883266299209E-2</v>
      </c>
      <c r="AX24" s="71" cm="1">
        <f t="array" aca="1" ref="AX24" ca="1">[2]!HoadleySABROption($C24,$D$5,$D$6,AX$20,$D$8,$D$9,$D$10,$D$11,$D$12,$D$13,$D$14)</f>
        <v>1.9158876719345234E-2</v>
      </c>
      <c r="AY24" s="71" cm="1">
        <f t="array" aca="1" ref="AY24" ca="1">[2]!HoadleySABROption($C24,$D$5,$D$6,AY$20,$D$8,$D$9,$D$10,$D$11,$D$12,$D$13,$D$14)</f>
        <v>1.887019093487935E-2</v>
      </c>
      <c r="AZ24" s="71" cm="1">
        <f t="array" aca="1" ref="AZ24" ca="1">[2]!HoadleySABROption($C24,$D$5,$D$6,AZ$20,$D$8,$D$9,$D$10,$D$11,$D$12,$D$13,$D$14)</f>
        <v>1.8595676015923723E-2</v>
      </c>
      <c r="BA24" s="71" cm="1">
        <f t="array" aca="1" ref="BA24" ca="1">[2]!HoadleySABROption($C24,$D$5,$D$6,BA$20,$D$8,$D$9,$D$10,$D$11,$D$12,$D$13,$D$14)</f>
        <v>1.8334294227071831E-2</v>
      </c>
      <c r="BB24" s="71" cm="1">
        <f t="array" aca="1" ref="BB24" ca="1">[2]!HoadleySABROption($C24,$D$5,$D$6,BB$20,$D$8,$D$9,$D$10,$D$11,$D$12,$D$13,$D$14)</f>
        <v>1.8085106700386943E-2</v>
      </c>
      <c r="BC24" s="71" cm="1">
        <f t="array" aca="1" ref="BC24" ca="1">[2]!HoadleySABROption($C24,$D$5,$D$6,BC$20,$D$8,$D$9,$D$10,$D$11,$D$12,$D$13,$D$14)</f>
        <v>1.7847261979759096E-2</v>
      </c>
      <c r="BD24" s="71" cm="1">
        <f t="array" aca="1" ref="BD24" ca="1">[2]!HoadleySABROption($C24,$D$5,$D$6,BD$20,$D$8,$D$9,$D$10,$D$11,$D$12,$D$13,$D$14)</f>
        <v>1.7619986115076522E-2</v>
      </c>
      <c r="BE24" s="71" cm="1">
        <f t="array" aca="1" ref="BE24" ca="1">[2]!HoadleySABROption($C24,$D$5,$D$6,BE$20,$D$8,$D$9,$D$10,$D$11,$D$12,$D$13,$D$14)</f>
        <v>1.7402574068012322E-2</v>
      </c>
      <c r="BF24" s="71" cm="1">
        <f t="array" aca="1" ref="BF24" ca="1">[2]!HoadleySABROption($C24,$D$5,$D$6,BF$20,$D$8,$D$9,$D$10,$D$11,$D$12,$D$13,$D$14)</f>
        <v>1.7194382232012629E-2</v>
      </c>
      <c r="BG24" s="71" cm="1">
        <f t="array" aca="1" ref="BG24" ca="1">[2]!HoadleySABROption($C24,$D$5,$D$6,BG$20,$D$8,$D$9,$D$10,$D$11,$D$12,$D$13,$D$14)</f>
        <v>1.6994821902180973E-2</v>
      </c>
      <c r="BH24" s="71" cm="1">
        <f t="array" aca="1" ref="BH24" ca="1">[2]!HoadleySABROption($C24,$D$5,$D$6,BH$20,$D$8,$D$9,$D$10,$D$11,$D$12,$D$13,$D$14)</f>
        <v>1.6803353557780884E-2</v>
      </c>
      <c r="BI24" s="71" cm="1">
        <f t="array" aca="1" ref="BI24" ca="1">[2]!HoadleySABROption($C24,$D$5,$D$6,BI$20,$D$8,$D$9,$D$10,$D$11,$D$12,$D$13,$D$14)</f>
        <v>1.6619481842203798E-2</v>
      </c>
      <c r="BJ24" s="71" cm="1">
        <f t="array" aca="1" ref="BJ24" ca="1">[2]!HoadleySABROption($C24,$D$5,$D$6,BJ$20,$D$8,$D$9,$D$10,$D$11,$D$12,$D$13,$D$14)</f>
        <v>1.6442751143473322E-2</v>
      </c>
      <c r="BK24" s="71" cm="1">
        <f t="array" aca="1" ref="BK24" ca="1">[2]!HoadleySABROption($C24,$D$5,$D$6,BK$20,$D$8,$D$9,$D$10,$D$11,$D$12,$D$13,$D$14)</f>
        <v>1.6272741693392802E-2</v>
      </c>
      <c r="BL24" s="71" cm="1">
        <f t="array" aca="1" ref="BL24" ca="1">[2]!HoadleySABROption($C24,$D$5,$D$6,BL$20,$D$8,$D$9,$D$10,$D$11,$D$12,$D$13,$D$14)</f>
        <v>1.6109066115924775E-2</v>
      </c>
      <c r="BM24" s="71" cm="1">
        <f t="array" aca="1" ref="BM24" ca="1">[2]!HoadleySABROption($C24,$D$5,$D$6,BM$20,$D$8,$D$9,$D$10,$D$11,$D$12,$D$13,$D$14)</f>
        <v>1.59513663657746E-2</v>
      </c>
      <c r="BN24" s="71" cm="1">
        <f t="array" aca="1" ref="BN24" ca="1">[2]!HoadleySABROption($C24,$D$5,$D$6,BN$20,$D$8,$D$9,$D$10,$D$11,$D$12,$D$13,$D$14)</f>
        <v>1.5799311006820096E-2</v>
      </c>
      <c r="BO24" s="71" cm="1">
        <f t="array" aca="1" ref="BO24" ca="1">[2]!HoadleySABROption($C24,$D$5,$D$6,BO$20,$D$8,$D$9,$D$10,$D$11,$D$12,$D$13,$D$14)</f>
        <v>1.5652592787308021E-2</v>
      </c>
      <c r="BP24" s="71" cm="1">
        <f t="array" aca="1" ref="BP24" ca="1">[2]!HoadleySABROption($C24,$D$5,$D$6,BP$20,$D$8,$D$9,$D$10,$D$11,$D$12,$D$13,$D$14)</f>
        <v>1.5510926474838376E-2</v>
      </c>
      <c r="BQ24" s="71" cm="1">
        <f t="array" aca="1" ref="BQ24" ca="1">[2]!HoadleySABROption($C24,$D$5,$D$6,BQ$20,$D$8,$D$9,$D$10,$D$11,$D$12,$D$13,$D$14)</f>
        <v>1.5374046919328652E-2</v>
      </c>
      <c r="BR24" s="71" cm="1">
        <f t="array" aca="1" ref="BR24" ca="1">[2]!HoadleySABROption($C24,$D$5,$D$6,BR$20,$D$8,$D$9,$D$10,$D$11,$D$12,$D$13,$D$14)</f>
        <v>1.5241707316503093E-2</v>
      </c>
      <c r="BS24" s="71" cm="1">
        <f t="array" aca="1" ref="BS24" ca="1">[2]!HoadleySABROption($C24,$D$5,$D$6,BS$20,$D$8,$D$9,$D$10,$D$11,$D$12,$D$13,$D$14)</f>
        <v>1.511367764816153E-2</v>
      </c>
      <c r="BT24" s="71" cm="1">
        <f t="array" aca="1" ref="BT24" ca="1">[2]!HoadleySABROption($C24,$D$5,$D$6,BT$20,$D$8,$D$9,$D$10,$D$11,$D$12,$D$13,$D$14)</f>
        <v>1.4989743278634291E-2</v>
      </c>
    </row>
    <row r="25" spans="2:72" x14ac:dyDescent="0.25">
      <c r="B25" s="15"/>
      <c r="C25" s="72" t="s">
        <v>45</v>
      </c>
      <c r="F25" s="65" t="s">
        <v>47</v>
      </c>
      <c r="G25" s="73" cm="1">
        <f t="array" aca="1" ref="G25" ca="1">[2]!HoadleyOptions2($C25,1,$D$5,G$20,$D$8,$D$9,G$22,$D$11,"c",$D$11)</f>
        <v>2.6678622371228276</v>
      </c>
      <c r="H25" s="73" cm="1">
        <f t="array" aca="1" ref="H25" ca="1">[2]!HoadleyOptions2($C25,1,$D$5,H$20,$D$8,$D$9,H$22,$D$11,"c",$D$11)</f>
        <v>1.7795893751006986</v>
      </c>
      <c r="I25" s="73" cm="1">
        <f t="array" aca="1" ref="I25" ca="1">[2]!HoadleyOptions2($C25,1,$D$5,I$20,$D$8,$D$9,I$22,$D$11,"c",$D$11)</f>
        <v>1.0825417620070632</v>
      </c>
      <c r="J25" s="73" cm="1">
        <f t="array" aca="1" ref="J25" ca="1">[2]!HoadleyOptions2($C25,1,$D$5,J$20,$D$8,$D$9,J$22,$D$11,"c",$D$11)</f>
        <v>0.63921975976648771</v>
      </c>
      <c r="K25" s="73" cm="1">
        <f t="array" aca="1" ref="K25" ca="1">[2]!HoadleyOptions2($C25,1,$D$5,K$20,$D$8,$D$9,K$22,$D$11,"c",$D$11)</f>
        <v>0.3965556536196766</v>
      </c>
      <c r="L25" s="73" cm="1">
        <f t="array" aca="1" ref="L25" ca="1">[2]!HoadleyOptions2($C25,1,$D$5,L$20,$D$8,$D$9,L$22,$D$11,"c",$D$11)</f>
        <v>0.26655553165450008</v>
      </c>
      <c r="M25" s="73" cm="1">
        <f t="array" aca="1" ref="M25" ca="1">[2]!HoadleyOptions2($C25,1,$D$5,M$20,$D$8,$D$9,M$22,$D$11,"c",$D$11)</f>
        <v>0.19298945456625571</v>
      </c>
      <c r="N25" s="73" cm="1">
        <f t="array" aca="1" ref="N25" ca="1">[2]!HoadleyOptions2($C25,1,$D$5,N$20,$D$8,$D$9,N$22,$D$11,"c",$D$11)</f>
        <v>0.14823500804092848</v>
      </c>
      <c r="O25" s="73" cm="1">
        <f t="array" aca="1" ref="O25" ca="1">[2]!HoadleyOptions2($C25,1,$D$5,O$20,$D$8,$D$9,O$22,$D$11,"c",$D$11)</f>
        <v>0.11913667751533408</v>
      </c>
      <c r="P25" s="73" cm="1">
        <f t="array" aca="1" ref="P25" ca="1">[2]!HoadleyOptions2($C25,1,$D$5,P$20,$D$8,$D$9,P$22,$D$11,"c",$D$11)</f>
        <v>9.913556206093993E-2</v>
      </c>
      <c r="Q25" s="73" cm="1">
        <f t="array" aca="1" ref="Q25" ca="1">[2]!HoadleyOptions2($C25,1,$D$5,Q$20,$D$8,$D$9,Q$22,$D$11,"c",$D$11)</f>
        <v>8.474843978766422E-2</v>
      </c>
      <c r="R25" s="73" cm="1">
        <f t="array" aca="1" ref="R25" ca="1">[2]!HoadleyOptions2($C25,1,$D$5,R$20,$D$8,$D$9,R$22,$D$11,"c",$D$11)</f>
        <v>7.4008308437548909E-2</v>
      </c>
      <c r="S25" s="73" cm="1">
        <f t="array" aca="1" ref="S25" ca="1">[2]!HoadleyOptions2($C25,1,$D$5,S$20,$D$8,$D$9,S$22,$D$11,"c",$D$11)</f>
        <v>6.5742030803626561E-2</v>
      </c>
      <c r="T25" s="73" cm="1">
        <f t="array" aca="1" ref="T25" ca="1">[2]!HoadleyOptions2($C25,1,$D$5,T$20,$D$8,$D$9,T$22,$D$11,"c",$D$11)</f>
        <v>5.9216093808626358E-2</v>
      </c>
      <c r="U25" s="73" cm="1">
        <f t="array" aca="1" ref="U25" ca="1">[2]!HoadleyOptions2($C25,1,$D$5,U$20,$D$8,$D$9,U$22,$D$11,"c",$D$11)</f>
        <v>5.3952867645920666E-2</v>
      </c>
      <c r="V25" s="73" cm="1">
        <f t="array" aca="1" ref="V25" ca="1">[2]!HoadleyOptions2($C25,1,$D$5,V$20,$D$8,$D$9,V$22,$D$11,"c",$D$11)</f>
        <v>4.9630289980710784E-2</v>
      </c>
      <c r="W25" s="73" cm="1">
        <f t="array" aca="1" ref="W25" ca="1">[2]!HoadleyOptions2($C25,1,$D$5,W$20,$D$8,$D$9,W$22,$D$11,"c",$D$11)</f>
        <v>4.6024539485978982E-2</v>
      </c>
      <c r="X25" s="73" cm="1">
        <f t="array" aca="1" ref="X25" ca="1">[2]!HoadleyOptions2($C25,1,$D$5,X$20,$D$8,$D$9,X$22,$D$11,"c",$D$11)</f>
        <v>4.297592824412963E-2</v>
      </c>
      <c r="Y25" s="73" cm="1">
        <f t="array" aca="1" ref="Y25" ca="1">[2]!HoadleyOptions2($C25,1,$D$5,Y$20,$D$8,$D$9,Y$22,$D$11,"c",$D$11)</f>
        <v>4.0367873587005498E-2</v>
      </c>
      <c r="Z25" s="73" cm="1">
        <f t="array" aca="1" ref="Z25" ca="1">[2]!HoadleyOptions2($C25,1,$D$5,Z$20,$D$8,$D$9,Z$22,$D$11,"c",$D$11)</f>
        <v>3.8113519101240528E-2</v>
      </c>
      <c r="AA25" s="73" cm="1">
        <f t="array" aca="1" ref="AA25" ca="1">[2]!HoadleyOptions2($C25,1,$D$5,AA$20,$D$8,$D$9,AA$22,$D$11,"c",$D$11)</f>
        <v>3.6146981008286186E-2</v>
      </c>
      <c r="AB25" s="73" cm="1">
        <f t="array" aca="1" ref="AB25" ca="1">[2]!HoadleyOptions2($C25,1,$D$5,AB$20,$D$8,$D$9,AB$22,$D$11,"c",$D$11)</f>
        <v>3.4417476207384015E-2</v>
      </c>
      <c r="AC25" s="73" cm="1">
        <f t="array" aca="1" ref="AC25" ca="1">[2]!HoadleyOptions2($C25,1,$D$5,AC$20,$D$8,$D$9,AC$22,$D$11,"c",$D$11)</f>
        <v>3.2885294327238204E-2</v>
      </c>
      <c r="AD25" s="73" cm="1">
        <f t="array" aca="1" ref="AD25" ca="1">[2]!HoadleyOptions2($C25,1,$D$5,AD$20,$D$8,$D$9,AD$22,$D$11,"c",$D$11)</f>
        <v>3.1518978552126597E-2</v>
      </c>
      <c r="AE25" s="73" cm="1">
        <f t="array" aca="1" ref="AE25" ca="1">[2]!HoadleyOptions2($C25,1,$D$5,AE$20,$D$8,$D$9,AE$22,$D$11,"c",$D$11)</f>
        <v>3.0293316256719882E-2</v>
      </c>
      <c r="AF25" s="73" cm="1">
        <f t="array" aca="1" ref="AF25" ca="1">[2]!HoadleyOptions2($C25,1,$D$5,AF$20,$D$8,$D$9,AF$22,$D$11,"c",$D$11)</f>
        <v>2.918788298773102E-2</v>
      </c>
      <c r="AG25" s="73" cm="1">
        <f t="array" aca="1" ref="AG25" ca="1">[2]!HoadleyOptions2($C25,1,$D$5,AG$20,$D$8,$D$9,AG$22,$D$11,"c",$D$11)</f>
        <v>2.8185971412826624E-2</v>
      </c>
      <c r="AH25" s="73" cm="1">
        <f t="array" aca="1" ref="AH25" ca="1">[2]!HoadleyOptions2($C25,1,$D$5,AH$20,$D$8,$D$9,AH$22,$D$11,"c",$D$11)</f>
        <v>2.7273792532855848E-2</v>
      </c>
      <c r="AI25" s="73" cm="1">
        <f t="array" aca="1" ref="AI25" ca="1">[2]!HoadleyOptions2($C25,1,$D$5,AI$20,$D$8,$D$9,AI$22,$D$11,"c",$D$11)</f>
        <v>2.6439872373748563E-2</v>
      </c>
      <c r="AJ25" s="73" cm="1">
        <f t="array" aca="1" ref="AJ25" ca="1">[2]!HoadleyOptions2($C25,1,$D$5,AJ$20,$D$8,$D$9,AJ$22,$D$11,"c",$D$11)</f>
        <v>2.5674590988787244E-2</v>
      </c>
      <c r="AK25" s="73" cm="1">
        <f t="array" aca="1" ref="AK25" ca="1">[2]!HoadleyOptions2($C25,1,$D$5,AK$20,$D$8,$D$9,AK$22,$D$11,"c",$D$11)</f>
        <v>2.496982639808859E-2</v>
      </c>
      <c r="AL25" s="73" cm="1">
        <f t="array" aca="1" ref="AL25" ca="1">[2]!HoadleyOptions2($C25,1,$D$5,AL$20,$D$8,$D$9,AL$22,$D$11,"c",$D$11)</f>
        <v>2.4318676828764194E-2</v>
      </c>
      <c r="AM25" s="73" cm="1">
        <f t="array" aca="1" ref="AM25" ca="1">[2]!HoadleyOptions2($C25,1,$D$5,AM$20,$D$8,$D$9,AM$22,$D$11,"c",$D$11)</f>
        <v>2.3715242025842062E-2</v>
      </c>
      <c r="AN25" s="73" cm="1">
        <f t="array" aca="1" ref="AN25" ca="1">[2]!HoadleyOptions2($C25,1,$D$5,AN$20,$D$8,$D$9,AN$22,$D$11,"c",$D$11)</f>
        <v>2.3154449584608744E-2</v>
      </c>
      <c r="AO25" s="73" cm="1">
        <f t="array" aca="1" ref="AO25" ca="1">[2]!HoadleyOptions2($C25,1,$D$5,AO$20,$D$8,$D$9,AO$22,$D$11,"c",$D$11)</f>
        <v>2.263191592494207E-2</v>
      </c>
      <c r="AP25" s="73" cm="1">
        <f t="array" aca="1" ref="AP25" ca="1">[2]!HoadleyOptions2($C25,1,$D$5,AP$20,$D$8,$D$9,AP$22,$D$11,"c",$D$11)</f>
        <v>2.2143834159541131E-2</v>
      </c>
      <c r="AQ25" s="73" cm="1">
        <f t="array" aca="1" ref="AQ25" ca="1">[2]!HoadleyOptions2($C25,1,$D$5,AQ$20,$D$8,$D$9,AQ$22,$D$11,"c",$D$11)</f>
        <v>2.1686883015715919E-2</v>
      </c>
      <c r="AR25" s="73" cm="1">
        <f t="array" aca="1" ref="AR25" ca="1">[2]!HoadleyOptions2($C25,1,$D$5,AR$20,$D$8,$D$9,AR$22,$D$11,"c",$D$11)</f>
        <v>2.1258152368091393E-2</v>
      </c>
      <c r="AS25" s="73" cm="1">
        <f t="array" aca="1" ref="AS25" ca="1">[2]!HoadleyOptions2($C25,1,$D$5,AS$20,$D$8,$D$9,AS$22,$D$11,"c",$D$11)</f>
        <v>2.0855081973750786E-2</v>
      </c>
      <c r="AT25" s="73" cm="1">
        <f t="array" aca="1" ref="AT25" ca="1">[2]!HoadleyOptions2($C25,1,$D$5,AT$20,$D$8,$D$9,AT$22,$D$11,"c",$D$11)</f>
        <v>2.0475410773703656E-2</v>
      </c>
      <c r="AU25" s="73" cm="1">
        <f t="array" aca="1" ref="AU25" ca="1">[2]!HoadleyOptions2($C25,1,$D$5,AU$20,$D$8,$D$9,AU$22,$D$11,"c",$D$11)</f>
        <v>2.0117134706172934E-2</v>
      </c>
      <c r="AV25" s="73" cm="1">
        <f t="array" aca="1" ref="AV25" ca="1">[2]!HoadleyOptions2($C25,1,$D$5,AV$20,$D$8,$D$9,AV$22,$D$11,"c",$D$11)</f>
        <v>1.9778471419286611E-2</v>
      </c>
      <c r="AW25" s="73" cm="1">
        <f t="array" aca="1" ref="AW25" ca="1">[2]!HoadleyOptions2($C25,1,$D$5,AW$20,$D$8,$D$9,AW$22,$D$11,"c",$D$11)</f>
        <v>1.9457830608705005E-2</v>
      </c>
      <c r="AX25" s="73" cm="1">
        <f t="array" aca="1" ref="AX25" ca="1">[2]!HoadleyOptions2($C25,1,$D$5,AX$20,$D$8,$D$9,AX$22,$D$11,"c",$D$11)</f>
        <v>1.9153788966767407E-2</v>
      </c>
      <c r="AY25" s="73" cm="1">
        <f t="array" aca="1" ref="AY25" ca="1">[2]!HoadleyOptions2($C25,1,$D$5,AY$20,$D$8,$D$9,AY$22,$D$11,"c",$D$11)</f>
        <v>1.8865068932076068E-2</v>
      </c>
      <c r="AZ25" s="73" cm="1">
        <f t="array" aca="1" ref="AZ25" ca="1">[2]!HoadleyOptions2($C25,1,$D$5,AZ$20,$D$8,$D$9,AZ$22,$D$11,"c",$D$11)</f>
        <v>1.8590520586743438E-2</v>
      </c>
      <c r="BA25" s="73" cm="1">
        <f t="array" aca="1" ref="BA25" ca="1">[2]!HoadleyOptions2($C25,1,$D$5,BA$20,$D$8,$D$9,BA$22,$D$11,"c",$D$11)</f>
        <v>1.8329106173101836E-2</v>
      </c>
      <c r="BB25" s="73" cm="1">
        <f t="array" aca="1" ref="BB25" ca="1">[2]!HoadleyOptions2($C25,1,$D$5,BB$20,$D$8,$D$9,BB$22,$D$11,"c",$D$11)</f>
        <v>1.8079886800140631E-2</v>
      </c>
      <c r="BC25" s="73" cm="1">
        <f t="array" aca="1" ref="BC25" ca="1">[2]!HoadleyOptions2($C25,1,$D$5,BC$20,$D$8,$D$9,BC$22,$D$11,"c",$D$11)</f>
        <v>1.7842010988219408E-2</v>
      </c>
      <c r="BD25" s="73" cm="1">
        <f t="array" aca="1" ref="BD25" ca="1">[2]!HoadleyOptions2($C25,1,$D$5,BD$20,$D$8,$D$9,BD$22,$D$11,"c",$D$11)</f>
        <v>1.7614704763573678E-2</v>
      </c>
      <c r="BE25" s="73" cm="1">
        <f t="array" aca="1" ref="BE25" ca="1">[2]!HoadleyOptions2($C25,1,$D$5,BE$20,$D$8,$D$9,BE$22,$D$11,"c",$D$11)</f>
        <v>1.7397263064321225E-2</v>
      </c>
      <c r="BF25" s="73" cm="1">
        <f t="array" aca="1" ref="BF25" ca="1">[2]!HoadleyOptions2($C25,1,$D$5,BF$20,$D$8,$D$9,BF$22,$D$11,"c",$D$11)</f>
        <v>1.7189042260647283E-2</v>
      </c>
      <c r="BG25" s="73" cm="1">
        <f t="array" aca="1" ref="BG25" ca="1">[2]!HoadleyOptions2($C25,1,$D$5,BG$20,$D$8,$D$9,BG$22,$D$11,"c",$D$11)</f>
        <v>1.698945362480439E-2</v>
      </c>
      <c r="BH25" s="73" cm="1">
        <f t="array" aca="1" ref="BH25" ca="1">[2]!HoadleyOptions2($C25,1,$D$5,BH$20,$D$8,$D$9,BH$22,$D$11,"c",$D$11)</f>
        <v>1.6797957613728563E-2</v>
      </c>
      <c r="BI25" s="73" cm="1">
        <f t="array" aca="1" ref="BI25" ca="1">[2]!HoadleyOptions2($C25,1,$D$5,BI$20,$D$8,$D$9,BI$22,$D$11,"c",$D$11)</f>
        <v>1.6614058849063147E-2</v>
      </c>
      <c r="BJ25" s="73" cm="1">
        <f t="array" aca="1" ref="BJ25" ca="1">[2]!HoadleyOptions2($C25,1,$D$5,BJ$20,$D$8,$D$9,BJ$22,$D$11,"c",$D$11)</f>
        <v>1.6437301697743358E-2</v>
      </c>
      <c r="BK25" s="73" cm="1">
        <f t="array" aca="1" ref="BK25" ca="1">[2]!HoadleyOptions2($C25,1,$D$5,BK$20,$D$8,$D$9,BK$22,$D$11,"c",$D$11)</f>
        <v>1.6267266371131892E-2</v>
      </c>
      <c r="BL25" s="73" cm="1">
        <f t="array" aca="1" ref="BL25" ca="1">[2]!HoadleyOptions2($C25,1,$D$5,BL$20,$D$8,$D$9,BL$22,$D$11,"c",$D$11)</f>
        <v>1.6103565473450467E-2</v>
      </c>
      <c r="BM25" s="73" cm="1">
        <f t="array" aca="1" ref="BM25" ca="1">[2]!HoadleyOptions2($C25,1,$D$5,BM$20,$D$8,$D$9,BM$22,$D$11,"c",$D$11)</f>
        <v>1.5945840940370555E-2</v>
      </c>
      <c r="BN25" s="73" cm="1">
        <f t="array" aca="1" ref="BN25" ca="1">[2]!HoadleyOptions2($C25,1,$D$5,BN$20,$D$8,$D$9,BN$22,$D$11,"c",$D$11)</f>
        <v>1.5793761317428129E-2</v>
      </c>
      <c r="BO25" s="73" cm="1">
        <f t="array" aca="1" ref="BO25" ca="1">[2]!HoadleyOptions2($C25,1,$D$5,BO$20,$D$8,$D$9,BO$22,$D$11,"c",$D$11)</f>
        <v>1.5647019335208706E-2</v>
      </c>
      <c r="BP25" s="73" cm="1">
        <f t="array" aca="1" ref="BP25" ca="1">[2]!HoadleyOptions2($C25,1,$D$5,BP$20,$D$8,$D$9,BP$22,$D$11,"c",$D$11)</f>
        <v>1.5505329744350954E-2</v>
      </c>
      <c r="BQ25" s="73" cm="1">
        <f t="array" aca="1" ref="BQ25" ca="1">[2]!HoadleyOptions2($C25,1,$D$5,BQ$20,$D$8,$D$9,BQ$22,$D$11,"c",$D$11)</f>
        <v>1.5368427378460989E-2</v>
      </c>
      <c r="BR25" s="73" cm="1">
        <f t="array" aca="1" ref="BR25" ca="1">[2]!HoadleyOptions2($C25,1,$D$5,BR$20,$D$8,$D$9,BR$22,$D$11,"c",$D$11)</f>
        <v>1.5236065417599517E-2</v>
      </c>
      <c r="BS25" s="73" cm="1">
        <f t="array" aca="1" ref="BS25" ca="1">[2]!HoadleyOptions2($C25,1,$D$5,BS$20,$D$8,$D$9,BS$22,$D$11,"c",$D$11)</f>
        <v>1.5108013828547352E-2</v>
      </c>
      <c r="BT25" s="73" cm="1">
        <f t="array" aca="1" ref="BT25" ca="1">[2]!HoadleyOptions2($C25,1,$D$5,BT$20,$D$8,$D$9,BT$22,$D$11,"c",$D$11)</f>
        <v>1.4984057961202002E-2</v>
      </c>
    </row>
    <row r="26" spans="2:72" x14ac:dyDescent="0.25">
      <c r="B26" s="15"/>
      <c r="C26" s="74"/>
      <c r="F26" s="75"/>
      <c r="G26" s="15"/>
      <c r="Q26" s="69"/>
      <c r="R26" s="69"/>
      <c r="S26" s="69"/>
      <c r="T26" s="69"/>
      <c r="U26" s="69"/>
      <c r="V26" s="69"/>
      <c r="W26" s="69"/>
      <c r="X26" s="69"/>
      <c r="Y26" s="69"/>
      <c r="Z26" s="69"/>
      <c r="AA26" s="69"/>
      <c r="AB26" s="69"/>
      <c r="AC26" s="69"/>
      <c r="AD26" s="69"/>
      <c r="AE26" s="69"/>
      <c r="AF26" s="69"/>
      <c r="AG26" s="69"/>
      <c r="AH26" s="69"/>
      <c r="AI26" s="69"/>
      <c r="AJ26" s="69"/>
      <c r="AK26" s="69"/>
      <c r="AL26" s="69"/>
      <c r="AM26" s="69"/>
      <c r="AN26" s="69"/>
      <c r="AO26" s="69"/>
      <c r="AP26" s="69"/>
      <c r="AQ26" s="69"/>
      <c r="AR26" s="69"/>
      <c r="AS26" s="69"/>
      <c r="AT26" s="69"/>
      <c r="AU26" s="69"/>
      <c r="AV26" s="69"/>
      <c r="AW26" s="69"/>
      <c r="AX26" s="69"/>
      <c r="AY26" s="69"/>
      <c r="AZ26" s="69"/>
      <c r="BA26" s="69"/>
      <c r="BB26" s="69"/>
      <c r="BC26" s="69"/>
      <c r="BD26" s="69"/>
      <c r="BE26" s="69"/>
      <c r="BF26" s="69"/>
      <c r="BG26" s="69"/>
      <c r="BH26" s="69"/>
      <c r="BI26" s="69"/>
      <c r="BJ26" s="69"/>
      <c r="BK26" s="69"/>
      <c r="BL26" s="69"/>
      <c r="BM26" s="69"/>
      <c r="BN26" s="69"/>
      <c r="BO26" s="69"/>
      <c r="BP26" s="69"/>
      <c r="BQ26" s="69"/>
      <c r="BR26" s="69"/>
      <c r="BS26" s="69"/>
      <c r="BT26" s="69"/>
    </row>
    <row r="27" spans="2:72" x14ac:dyDescent="0.25">
      <c r="B27" s="9" t="s">
        <v>34</v>
      </c>
      <c r="C27" s="70" t="s">
        <v>48</v>
      </c>
      <c r="F27" s="65" t="s">
        <v>49</v>
      </c>
      <c r="G27" s="71" cm="1">
        <f t="array" aca="1" ref="G27" ca="1">[2]!HoadleySABROption($C27,$D$5,$D$6,G$20,$D$8,$D$9,$D$10,$D$11,$D$12,$D$13,$D$14)</f>
        <v>0.98281086406444285</v>
      </c>
      <c r="H27" s="71" cm="1">
        <f t="array" aca="1" ref="H27" ca="1">[2]!HoadleySABROption($C27,$D$5,$D$6,H$20,$D$8,$D$9,$D$10,$D$11,$D$12,$D$13,$D$14)</f>
        <v>0.90803533621064414</v>
      </c>
      <c r="I27" s="71" cm="1">
        <f t="array" aca="1" ref="I27" ca="1">[2]!HoadleySABROption($C27,$D$5,$D$6,I$20,$D$8,$D$9,$D$10,$D$11,$D$12,$D$13,$D$14)</f>
        <v>0.72508586607259451</v>
      </c>
      <c r="J27" s="71" cm="1">
        <f t="array" aca="1" ref="J27" ca="1">[2]!HoadleySABROption($C27,$D$5,$D$6,J$20,$D$8,$D$9,$D$10,$D$11,$D$12,$D$13,$D$14)</f>
        <v>0.49047321146321599</v>
      </c>
      <c r="K27" s="71" cm="1">
        <f t="array" aca="1" ref="K27" ca="1">[2]!HoadleySABROption($C27,$D$5,$D$6,K$20,$D$8,$D$9,$D$10,$D$11,$D$12,$D$13,$D$14)</f>
        <v>0.31019444892441128</v>
      </c>
      <c r="L27" s="71" cm="1">
        <f t="array" aca="1" ref="L27" ca="1">[2]!HoadleySABROption($C27,$D$5,$D$6,L$20,$D$8,$D$9,$D$10,$D$11,$D$12,$D$13,$D$14)</f>
        <v>0.20131442960015233</v>
      </c>
      <c r="M27" s="71" cm="1">
        <f t="array" aca="1" ref="M27" ca="1">[2]!HoadleySABROption($C27,$D$5,$D$6,M$20,$D$8,$D$9,$D$10,$D$11,$D$12,$D$13,$D$14)</f>
        <v>0.13837811972616382</v>
      </c>
      <c r="N27" s="71" cm="1">
        <f t="array" aca="1" ref="N27" ca="1">[2]!HoadleySABROption($C27,$D$5,$D$6,N$20,$D$8,$D$9,$D$10,$D$11,$D$12,$D$13,$D$14)</f>
        <v>0.10071879147914298</v>
      </c>
      <c r="O27" s="71" cm="1">
        <f t="array" aca="1" ref="O27" ca="1">[2]!HoadleySABROption($C27,$D$5,$D$6,O$20,$D$8,$D$9,$D$10,$D$11,$D$12,$D$13,$D$14)</f>
        <v>7.6946298580723993E-2</v>
      </c>
      <c r="P27" s="71" cm="1">
        <f t="array" aca="1" ref="P27" ca="1">[2]!HoadleySABROption($C27,$D$5,$D$6,P$20,$D$8,$D$9,$D$10,$D$11,$D$12,$D$13,$D$14)</f>
        <v>6.1134833311805858E-2</v>
      </c>
      <c r="Q27" s="71" cm="1">
        <f t="array" aca="1" ref="Q27" ca="1">[2]!HoadleySABROption($C27,$D$5,$D$6,Q$20,$D$8,$D$9,$D$10,$D$11,$D$12,$D$13,$D$14)</f>
        <v>5.0125490409985013E-2</v>
      </c>
      <c r="R27" s="71" cm="1">
        <f t="array" aca="1" ref="R27" ca="1">[2]!HoadleySABROption($C27,$D$5,$D$6,R$20,$D$8,$D$9,$D$10,$D$11,$D$12,$D$13,$D$14)</f>
        <v>4.2156087698028144E-2</v>
      </c>
      <c r="S27" s="71" cm="1">
        <f t="array" aca="1" ref="S27" ca="1">[2]!HoadleySABROption($C27,$D$5,$D$6,S$20,$D$8,$D$9,$D$10,$D$11,$D$12,$D$13,$D$14)</f>
        <v>3.6195346737076528E-2</v>
      </c>
      <c r="T27" s="71" cm="1">
        <f t="array" aca="1" ref="T27" ca="1">[2]!HoadleySABROption($C27,$D$5,$D$6,T$20,$D$8,$D$9,$D$10,$D$11,$D$12,$D$13,$D$14)</f>
        <v>3.1612158268800455E-2</v>
      </c>
      <c r="U27" s="71" cm="1">
        <f t="array" aca="1" ref="U27" ca="1">[2]!HoadleySABROption($C27,$D$5,$D$6,U$20,$D$8,$D$9,$D$10,$D$11,$D$12,$D$13,$D$14)</f>
        <v>2.8004555725865549E-2</v>
      </c>
      <c r="V27" s="71" cm="1">
        <f t="array" aca="1" ref="V27" ca="1">[2]!HoadleySABROption($C27,$D$5,$D$6,V$20,$D$8,$D$9,$D$10,$D$11,$D$12,$D$13,$D$14)</f>
        <v>2.5107336503763303E-2</v>
      </c>
      <c r="W27" s="71" cm="1">
        <f t="array" aca="1" ref="W27" ca="1">[2]!HoadleySABROption($C27,$D$5,$D$6,W$20,$D$8,$D$9,$D$10,$D$11,$D$12,$D$13,$D$14)</f>
        <v>2.2740029355921426E-2</v>
      </c>
      <c r="X27" s="71" cm="1">
        <f t="array" aca="1" ref="X27" ca="1">[2]!HoadleySABROption($C27,$D$5,$D$6,X$20,$D$8,$D$9,$D$10,$D$11,$D$12,$D$13,$D$14)</f>
        <v>2.0776433921015913E-2</v>
      </c>
      <c r="Y27" s="71" cm="1">
        <f t="array" aca="1" ref="Y27" ca="1">[2]!HoadleySABROption($C27,$D$5,$D$6,Y$20,$D$8,$D$9,$D$10,$D$11,$D$12,$D$13,$D$14)</f>
        <v>1.9126154890750438E-2</v>
      </c>
      <c r="Z27" s="71" cm="1">
        <f t="array" aca="1" ref="Z27" ca="1">[2]!HoadleySABROption($C27,$D$5,$D$6,Z$20,$D$8,$D$9,$D$10,$D$11,$D$12,$D$13,$D$14)</f>
        <v>1.7723050222457487E-2</v>
      </c>
      <c r="AA27" s="71" cm="1">
        <f t="array" aca="1" ref="AA27" ca="1">[2]!HoadleySABROption($C27,$D$5,$D$6,AA$20,$D$8,$D$9,$D$10,$D$11,$D$12,$D$13,$D$14)</f>
        <v>1.6517797675499185E-2</v>
      </c>
      <c r="AB27" s="71" cm="1">
        <f t="array" aca="1" ref="AB27" ca="1">[2]!HoadleySABROption($C27,$D$5,$D$6,AB$20,$D$8,$D$9,$D$10,$D$11,$D$12,$D$13,$D$14)</f>
        <v>1.5472988416721095E-2</v>
      </c>
      <c r="AC27" s="71" cm="1">
        <f t="array" aca="1" ref="AC27" ca="1">[2]!HoadleySABROption($C27,$D$5,$D$6,AC$20,$D$8,$D$9,$D$10,$D$11,$D$12,$D$13,$D$14)</f>
        <v>1.4559813585312414E-2</v>
      </c>
      <c r="AD27" s="71" cm="1">
        <f t="array" aca="1" ref="AD27" ca="1">[2]!HoadleySABROption($C27,$D$5,$D$6,AD$20,$D$8,$D$9,$D$10,$D$11,$D$12,$D$13,$D$14)</f>
        <v>1.3755779807522392E-2</v>
      </c>
      <c r="AE27" s="71" cm="1">
        <f t="array" aca="1" ref="AE27" ca="1">[2]!HoadleySABROption($C27,$D$5,$D$6,AE$20,$D$8,$D$9,$D$10,$D$11,$D$12,$D$13,$D$14)</f>
        <v>1.304310425448308E-2</v>
      </c>
      <c r="AF27" s="71" cm="1">
        <f t="array" aca="1" ref="AF27" ca="1">[2]!HoadleySABROption($C27,$D$5,$D$6,AF$20,$D$8,$D$9,$D$10,$D$11,$D$12,$D$13,$D$14)</f>
        <v>1.2407567651180965E-2</v>
      </c>
      <c r="AG27" s="71" cm="1">
        <f t="array" aca="1" ref="AG27" ca="1">[2]!HoadleySABROption($C27,$D$5,$D$6,AG$20,$D$8,$D$9,$D$10,$D$11,$D$12,$D$13,$D$14)</f>
        <v>1.1837681655198738E-2</v>
      </c>
      <c r="AH27" s="71" cm="1">
        <f t="array" aca="1" ref="AH27" ca="1">[2]!HoadleySABROption($C27,$D$5,$D$6,AH$20,$D$8,$D$9,$D$10,$D$11,$D$12,$D$13,$D$14)</f>
        <v>1.1324075725030643E-2</v>
      </c>
      <c r="AI27" s="71" cm="1">
        <f t="array" aca="1" ref="AI27" ca="1">[2]!HoadleySABROption($C27,$D$5,$D$6,AI$20,$D$8,$D$9,$D$10,$D$11,$D$12,$D$13,$D$14)</f>
        <v>1.0859039635325966E-2</v>
      </c>
      <c r="AJ27" s="71" cm="1">
        <f t="array" aca="1" ref="AJ27" ca="1">[2]!HoadleySABROption($C27,$D$5,$D$6,AJ$20,$D$8,$D$9,$D$10,$D$11,$D$12,$D$13,$D$14)</f>
        <v>1.0436177960673407E-2</v>
      </c>
      <c r="AK27" s="71" cm="1">
        <f t="array" aca="1" ref="AK27" ca="1">[2]!HoadleySABROption($C27,$D$5,$D$6,AK$20,$D$8,$D$9,$D$10,$D$11,$D$12,$D$13,$D$14)</f>
        <v>1.0050146179905323E-2</v>
      </c>
      <c r="AL27" s="71" cm="1">
        <f t="array" aca="1" ref="AL27" ca="1">[2]!HoadleySABROption($C27,$D$5,$D$6,AL$20,$D$8,$D$9,$D$10,$D$11,$D$12,$D$13,$D$14)</f>
        <v>9.6964470136772993E-3</v>
      </c>
      <c r="AM27" s="71" cm="1">
        <f t="array" aca="1" ref="AM27" ca="1">[2]!HoadleySABROption($C27,$D$5,$D$6,AM$20,$D$8,$D$9,$D$10,$D$11,$D$12,$D$13,$D$14)</f>
        <v>9.3712717219224251E-3</v>
      </c>
      <c r="AN27" s="71" cm="1">
        <f t="array" aca="1" ref="AN27" ca="1">[2]!HoadleySABROption($C27,$D$5,$D$6,AN$20,$D$8,$D$9,$D$10,$D$11,$D$12,$D$13,$D$14)</f>
        <v>9.0713753180513695E-3</v>
      </c>
      <c r="AO27" s="71" cm="1">
        <f t="array" aca="1" ref="AO27" ca="1">[2]!HoadleySABROption($C27,$D$5,$D$6,AO$20,$D$8,$D$9,$D$10,$D$11,$D$12,$D$13,$D$14)</f>
        <v>8.7939776243200346E-3</v>
      </c>
      <c r="AP27" s="71" cm="1">
        <f t="array" aca="1" ref="AP27" ca="1">[2]!HoadleySABROption($C27,$D$5,$D$6,AP$20,$D$8,$D$9,$D$10,$D$11,$D$12,$D$13,$D$14)</f>
        <v>8.5366841985559314E-3</v>
      </c>
      <c r="AQ27" s="71" cm="1">
        <f t="array" aca="1" ref="AQ27" ca="1">[2]!HoadleySABROption($C27,$D$5,$D$6,AQ$20,$D$8,$D$9,$D$10,$D$11,$D$12,$D$13,$D$14)</f>
        <v>8.2974226742414323E-3</v>
      </c>
      <c r="AR27" s="71" cm="1">
        <f t="array" aca="1" ref="AR27" ca="1">[2]!HoadleySABROption($C27,$D$5,$D$6,AR$20,$D$8,$D$9,$D$10,$D$11,$D$12,$D$13,$D$14)</f>
        <v>8.0743911541890021E-3</v>
      </c>
      <c r="AS27" s="71" cm="1">
        <f t="array" aca="1" ref="AS27" ca="1">[2]!HoadleySABROption($C27,$D$5,$D$6,AS$20,$D$8,$D$9,$D$10,$D$11,$D$12,$D$13,$D$14)</f>
        <v>7.866016102847477E-3</v>
      </c>
      <c r="AT27" s="71" cm="1">
        <f t="array" aca="1" ref="AT27" ca="1">[2]!HoadleySABROption($C27,$D$5,$D$6,AT$20,$D$8,$D$9,$D$10,$D$11,$D$12,$D$13,$D$14)</f>
        <v>7.6709177775999976E-3</v>
      </c>
      <c r="AU27" s="71" cm="1">
        <f t="array" aca="1" ref="AU27" ca="1">[2]!HoadleySABROption($C27,$D$5,$D$6,AU$20,$D$8,$D$9,$D$10,$D$11,$D$12,$D$13,$D$14)</f>
        <v>7.4878816846569995E-3</v>
      </c>
      <c r="AV27" s="71" cm="1">
        <f t="array" aca="1" ref="AV27" ca="1">[2]!HoadleySABROption($C27,$D$5,$D$6,AV$20,$D$8,$D$9,$D$10,$D$11,$D$12,$D$13,$D$14)</f>
        <v>7.3158348807549067E-3</v>
      </c>
      <c r="AW27" s="71" cm="1">
        <f t="array" aca="1" ref="AW27" ca="1">[2]!HoadleySABROption($C27,$D$5,$D$6,AW$20,$D$8,$D$9,$D$10,$D$11,$D$12,$D$13,$D$14)</f>
        <v>7.1538261957307739E-3</v>
      </c>
      <c r="AX27" s="71" cm="1">
        <f t="array" aca="1" ref="AX27" ca="1">[2]!HoadleySABROption($C27,$D$5,$D$6,AX$20,$D$8,$D$9,$D$10,$D$11,$D$12,$D$13,$D$14)</f>
        <v>7.0010096462775825E-3</v>
      </c>
      <c r="AY27" s="71" cm="1">
        <f t="array" aca="1" ref="AY27" ca="1">[2]!HoadleySABROption($C27,$D$5,$D$6,AY$20,$D$8,$D$9,$D$10,$D$11,$D$12,$D$13,$D$14)</f>
        <v>6.8566304609583156E-3</v>
      </c>
      <c r="AZ27" s="71" cm="1">
        <f t="array" aca="1" ref="AZ27" ca="1">[2]!HoadleySABROption($C27,$D$5,$D$6,AZ$20,$D$8,$D$9,$D$10,$D$11,$D$12,$D$13,$D$14)</f>
        <v>6.7200132535071358E-3</v>
      </c>
      <c r="BA27" s="71" cm="1">
        <f t="array" aca="1" ref="BA27" ca="1">[2]!HoadleySABROption($C27,$D$5,$D$6,BA$20,$D$8,$D$9,$D$10,$D$11,$D$12,$D$13,$D$14)</f>
        <v>6.5905519715553362E-3</v>
      </c>
      <c r="BB27" s="71" cm="1">
        <f t="array" aca="1" ref="BB27" ca="1">[2]!HoadleySABROption($C27,$D$5,$D$6,BB$20,$D$8,$D$9,$D$10,$D$11,$D$12,$D$13,$D$14)</f>
        <v>6.4677013203388867E-3</v>
      </c>
      <c r="BC27" s="71" cm="1">
        <f t="array" aca="1" ref="BC27" ca="1">[2]!HoadleySABROption($C27,$D$5,$D$6,BC$20,$D$8,$D$9,$D$10,$D$11,$D$12,$D$13,$D$14)</f>
        <v>6.3509694167939931E-3</v>
      </c>
      <c r="BD27" s="71" cm="1">
        <f t="array" aca="1" ref="BD27" ca="1">[2]!HoadleySABROption($C27,$D$5,$D$6,BD$20,$D$8,$D$9,$D$10,$D$11,$D$12,$D$13,$D$14)</f>
        <v>6.2399114743521417E-3</v>
      </c>
      <c r="BE27" s="71" cm="1">
        <f t="array" aca="1" ref="BE27" ca="1">[2]!HoadleySABROption($C27,$D$5,$D$6,BE$20,$D$8,$D$9,$D$10,$D$11,$D$12,$D$13,$D$14)</f>
        <v>6.1341243553480682E-3</v>
      </c>
      <c r="BF27" s="71" cm="1">
        <f t="array" aca="1" ref="BF27" ca="1">[2]!HoadleySABROption($C27,$D$5,$D$6,BF$20,$D$8,$D$9,$D$10,$D$11,$D$12,$D$13,$D$14)</f>
        <v>6.0332418555349848E-3</v>
      </c>
      <c r="BG27" s="71" cm="1">
        <f t="array" aca="1" ref="BG27" ca="1">[2]!HoadleySABROption($C27,$D$5,$D$6,BG$20,$D$8,$D$9,$D$10,$D$11,$D$12,$D$13,$D$14)</f>
        <v>5.9369306098166E-3</v>
      </c>
      <c r="BH27" s="71" cm="1">
        <f t="array" aca="1" ref="BH27" ca="1">[2]!HoadleySABROption($C27,$D$5,$D$6,BH$20,$D$8,$D$9,$D$10,$D$11,$D$12,$D$13,$D$14)</f>
        <v>5.8448865261335678E-3</v>
      </c>
      <c r="BI27" s="71" cm="1">
        <f t="array" aca="1" ref="BI27" ca="1">[2]!HoadleySABROption($C27,$D$5,$D$6,BI$20,$D$8,$D$9,$D$10,$D$11,$D$12,$D$13,$D$14)</f>
        <v>5.7568316705133502E-3</v>
      </c>
      <c r="BJ27" s="71" cm="1">
        <f t="array" aca="1" ref="BJ27" ca="1">[2]!HoadleySABROption($C27,$D$5,$D$6,BJ$20,$D$8,$D$9,$D$10,$D$11,$D$12,$D$13,$D$14)</f>
        <v>5.6725115381886862E-3</v>
      </c>
      <c r="BK27" s="71" cm="1">
        <f t="array" aca="1" ref="BK27" ca="1">[2]!HoadleySABROption($C27,$D$5,$D$6,BK$20,$D$8,$D$9,$D$10,$D$11,$D$12,$D$13,$D$14)</f>
        <v>5.5916926569213321E-3</v>
      </c>
      <c r="BL27" s="71" cm="1">
        <f t="array" aca="1" ref="BL27" ca="1">[2]!HoadleySABROption($C27,$D$5,$D$6,BL$20,$D$8,$D$9,$D$10,$D$11,$D$12,$D$13,$D$14)</f>
        <v>5.5141604761825558E-3</v>
      </c>
      <c r="BM27" s="71" cm="1">
        <f t="array" aca="1" ref="BM27" ca="1">[2]!HoadleySABROption($C27,$D$5,$D$6,BM$20,$D$8,$D$9,$D$10,$D$11,$D$12,$D$13,$D$14)</f>
        <v>5.4397175038089357E-3</v>
      </c>
      <c r="BN27" s="71" cm="1">
        <f t="array" aca="1" ref="BN27" ca="1">[2]!HoadleySABROption($C27,$D$5,$D$6,BN$20,$D$8,$D$9,$D$10,$D$11,$D$12,$D$13,$D$14)</f>
        <v>5.3681816568550492E-3</v>
      </c>
      <c r="BO27" s="71" cm="1">
        <f t="array" aca="1" ref="BO27" ca="1">[2]!HoadleySABROption($C27,$D$5,$D$6,BO$20,$D$8,$D$9,$D$10,$D$11,$D$12,$D$13,$D$14)</f>
        <v>5.2993847988305753E-3</v>
      </c>
      <c r="BP27" s="71" cm="1">
        <f t="array" aca="1" ref="BP27" ca="1">[2]!HoadleySABROption($C27,$D$5,$D$6,BP$20,$D$8,$D$9,$D$10,$D$11,$D$12,$D$13,$D$14)</f>
        <v>5.2331714392778519E-3</v>
      </c>
      <c r="BQ27" s="71" cm="1">
        <f t="array" aca="1" ref="BQ27" ca="1">[2]!HoadleySABROption($C27,$D$5,$D$6,BQ$20,$D$8,$D$9,$D$10,$D$11,$D$12,$D$13,$D$14)</f>
        <v>5.1693975752838996E-3</v>
      </c>
      <c r="BR27" s="71" cm="1">
        <f t="array" aca="1" ref="BR27" ca="1">[2]!HoadleySABROption($C27,$D$5,$D$6,BR$20,$D$8,$D$9,$D$10,$D$11,$D$12,$D$13,$D$14)</f>
        <v>5.1079296570336746E-3</v>
      </c>
      <c r="BS27" s="71" cm="1">
        <f t="array" aca="1" ref="BS27" ca="1">[2]!HoadleySABROption($C27,$D$5,$D$6,BS$20,$D$8,$D$9,$D$10,$D$11,$D$12,$D$13,$D$14)</f>
        <v>5.0486436626357226E-3</v>
      </c>
      <c r="BT27" s="71" cm="1">
        <f t="array" aca="1" ref="BT27" ca="1">[2]!HoadleySABROption($C27,$D$5,$D$6,BT$20,$D$8,$D$9,$D$10,$D$11,$D$12,$D$13,$D$14)</f>
        <v>4.9914242687332765E-3</v>
      </c>
    </row>
    <row r="28" spans="2:72" x14ac:dyDescent="0.25">
      <c r="B28" s="15"/>
      <c r="C28" s="72" t="s">
        <v>48</v>
      </c>
      <c r="F28" s="65" t="s">
        <v>50</v>
      </c>
      <c r="G28" s="73" cm="1">
        <f t="array" aca="1" ref="G28" ca="1">[2]!HoadleyOptions2($C28,1,$D$5,G$20,$D$8,$D$9,G$22,$D$11,"c",$D$11)</f>
        <v>0.97363577556127179</v>
      </c>
      <c r="H28" s="73" cm="1">
        <f t="array" aca="1" ref="H28" ca="1">[2]!HoadleyOptions2($C28,1,$D$5,H$20,$D$8,$D$9,H$22,$D$11,"c",$D$11)</f>
        <v>0.88606943566245289</v>
      </c>
      <c r="I28" s="73" cm="1">
        <f t="array" aca="1" ref="I28" ca="1">[2]!HoadleyOptions2($C28,1,$D$5,I$20,$D$8,$D$9,I$22,$D$11,"c",$D$11)</f>
        <v>0.71337082202163815</v>
      </c>
      <c r="J28" s="73" cm="1">
        <f t="array" aca="1" ref="J28" ca="1">[2]!HoadleyOptions2($C28,1,$D$5,J$20,$D$8,$D$9,J$22,$D$11,"c",$D$11)</f>
        <v>0.5137895014322944</v>
      </c>
      <c r="K28" s="73" cm="1">
        <f t="array" aca="1" ref="K28" ca="1">[2]!HoadleyOptions2($C28,1,$D$5,K$20,$D$8,$D$9,K$22,$D$11,"c",$D$11)</f>
        <v>0.35783487885745474</v>
      </c>
      <c r="L28" s="73" cm="1">
        <f t="array" aca="1" ref="L28" ca="1">[2]!HoadleyOptions2($C28,1,$D$5,L$20,$D$8,$D$9,L$22,$D$11,"c",$D$11)</f>
        <v>0.25577235703872475</v>
      </c>
      <c r="M28" s="73" cm="1">
        <f t="array" aca="1" ref="M28" ca="1">[2]!HoadleyOptions2($C28,1,$D$5,M$20,$D$8,$D$9,M$22,$D$11,"c",$D$11)</f>
        <v>0.19109476691112648</v>
      </c>
      <c r="N28" s="73" cm="1">
        <f t="array" aca="1" ref="N28" ca="1">[2]!HoadleyOptions2($C28,1,$D$5,N$20,$D$8,$D$9,N$22,$D$11,"c",$D$11)</f>
        <v>0.14903132800769611</v>
      </c>
      <c r="O28" s="73" cm="1">
        <f t="array" aca="1" ref="O28" ca="1">[2]!HoadleyOptions2($C28,1,$D$5,O$20,$D$8,$D$9,O$22,$D$11,"c",$D$11)</f>
        <v>0.12053053139012217</v>
      </c>
      <c r="P28" s="73" cm="1">
        <f t="array" aca="1" ref="P28" ca="1">[2]!HoadleyOptions2($C28,1,$D$5,P$20,$D$8,$D$9,P$22,$D$11,"c",$D$11)</f>
        <v>0.10041355097531937</v>
      </c>
      <c r="Q28" s="73" cm="1">
        <f t="array" aca="1" ref="Q28" ca="1">[2]!HoadleyOptions2($C28,1,$D$5,Q$20,$D$8,$D$9,Q$22,$D$11,"c",$D$11)</f>
        <v>8.5686774506562063E-2</v>
      </c>
      <c r="R28" s="73" cm="1">
        <f t="array" aca="1" ref="R28" ca="1">[2]!HoadleyOptions2($C28,1,$D$5,R$20,$D$8,$D$9,R$22,$D$11,"c",$D$11)</f>
        <v>7.45619996108145E-2</v>
      </c>
      <c r="S28" s="73" cm="1">
        <f t="array" aca="1" ref="S28" ca="1">[2]!HoadleyOptions2($C28,1,$D$5,S$20,$D$8,$D$9,S$22,$D$11,"c",$D$11)</f>
        <v>6.5930142891465468E-2</v>
      </c>
      <c r="T28" s="73" cm="1">
        <f t="array" aca="1" ref="T28" ca="1">[2]!HoadleyOptions2($C28,1,$D$5,T$20,$D$8,$D$9,T$22,$D$11,"c",$D$11)</f>
        <v>5.9077834568363158E-2</v>
      </c>
      <c r="U28" s="73" cm="1">
        <f t="array" aca="1" ref="U28" ca="1">[2]!HoadleyOptions2($C28,1,$D$5,U$20,$D$8,$D$9,U$22,$D$11,"c",$D$11)</f>
        <v>5.3530690119263952E-2</v>
      </c>
      <c r="V28" s="73" cm="1">
        <f t="array" aca="1" ref="V28" ca="1">[2]!HoadleyOptions2($C28,1,$D$5,V$20,$D$8,$D$9,V$22,$D$11,"c",$D$11)</f>
        <v>4.896369098237361E-2</v>
      </c>
      <c r="W28" s="73" cm="1">
        <f t="array" aca="1" ref="W28" ca="1">[2]!HoadleyOptions2($C28,1,$D$5,W$20,$D$8,$D$9,W$22,$D$11,"c",$D$11)</f>
        <v>4.5148164950881163E-2</v>
      </c>
      <c r="X28" s="73" cm="1">
        <f t="array" aca="1" ref="X28" ca="1">[2]!HoadleyOptions2($C28,1,$D$5,X$20,$D$8,$D$9,X$22,$D$11,"c",$D$11)</f>
        <v>4.1919387968056936E-2</v>
      </c>
      <c r="Y28" s="73" cm="1">
        <f t="array" aca="1" ref="Y28" ca="1">[2]!HoadleyOptions2($C28,1,$D$5,Y$20,$D$8,$D$9,Y$22,$D$11,"c",$D$11)</f>
        <v>3.915618614801096E-2</v>
      </c>
      <c r="Z28" s="73" cm="1">
        <f t="array" aca="1" ref="Z28" ca="1">[2]!HoadleyOptions2($C28,1,$D$5,Z$20,$D$8,$D$9,Z$22,$D$11,"c",$D$11)</f>
        <v>3.6767737935931848E-2</v>
      </c>
      <c r="AA28" s="73" cm="1">
        <f t="array" aca="1" ref="AA28" ca="1">[2]!HoadleyOptions2($C28,1,$D$5,AA$20,$D$8,$D$9,AA$22,$D$11,"c",$D$11)</f>
        <v>3.4684820590348629E-2</v>
      </c>
      <c r="AB28" s="73" cm="1">
        <f t="array" aca="1" ref="AB28" ca="1">[2]!HoadleyOptions2($C28,1,$D$5,AB$20,$D$8,$D$9,AB$22,$D$11,"c",$D$11)</f>
        <v>3.2853872328065171E-2</v>
      </c>
      <c r="AC28" s="73" cm="1">
        <f t="array" aca="1" ref="AC28" ca="1">[2]!HoadleyOptions2($C28,1,$D$5,AC$20,$D$8,$D$9,AC$22,$D$11,"c",$D$11)</f>
        <v>3.1232881331757983E-2</v>
      </c>
      <c r="AD28" s="73" cm="1">
        <f t="array" aca="1" ref="AD28" ca="1">[2]!HoadleyOptions2($C28,1,$D$5,AD$20,$D$8,$D$9,AD$22,$D$11,"c",$D$11)</f>
        <v>2.9788486175730194E-2</v>
      </c>
      <c r="AE28" s="73" cm="1">
        <f t="array" aca="1" ref="AE28" ca="1">[2]!HoadleyOptions2($C28,1,$D$5,AE$20,$D$8,$D$9,AE$22,$D$11,"c",$D$11)</f>
        <v>2.8493895734403814E-2</v>
      </c>
      <c r="AF28" s="73" cm="1">
        <f t="array" aca="1" ref="AF28" ca="1">[2]!HoadleyOptions2($C28,1,$D$5,AF$20,$D$8,$D$9,AF$22,$D$11,"c",$D$11)</f>
        <v>2.7327373661838215E-2</v>
      </c>
      <c r="AG28" s="73" cm="1">
        <f t="array" aca="1" ref="AG28" ca="1">[2]!HoadleyOptions2($C28,1,$D$5,AG$20,$D$8,$D$9,AG$22,$D$11,"c",$D$11)</f>
        <v>2.6271118402860748E-2</v>
      </c>
      <c r="AH28" s="73" cm="1">
        <f t="array" aca="1" ref="AH28" ca="1">[2]!HoadleyOptions2($C28,1,$D$5,AH$20,$D$8,$D$9,AH$22,$D$11,"c",$D$11)</f>
        <v>2.5310424618872104E-2</v>
      </c>
      <c r="AI28" s="73" cm="1">
        <f t="array" aca="1" ref="AI28" ca="1">[2]!HoadleyOptions2($C28,1,$D$5,AI$20,$D$8,$D$9,AI$22,$D$11,"c",$D$11)</f>
        <v>2.4433047706757582E-2</v>
      </c>
      <c r="AJ28" s="73" cm="1">
        <f t="array" aca="1" ref="AJ28" ca="1">[2]!HoadleyOptions2($C28,1,$D$5,AJ$20,$D$8,$D$9,AJ$22,$D$11,"c",$D$11)</f>
        <v>2.3628716829431469E-2</v>
      </c>
      <c r="AK28" s="73" cm="1">
        <f t="array" aca="1" ref="AK28" ca="1">[2]!HoadleyOptions2($C28,1,$D$5,AK$20,$D$8,$D$9,AK$22,$D$11,"c",$D$11)</f>
        <v>2.288875787837439E-2</v>
      </c>
      <c r="AL28" s="73" cm="1">
        <f t="array" aca="1" ref="AL28" ca="1">[2]!HoadleyOptions2($C28,1,$D$5,AL$20,$D$8,$D$9,AL$22,$D$11,"c",$D$11)</f>
        <v>2.220579873799497E-2</v>
      </c>
      <c r="AM28" s="73" cm="1">
        <f t="array" aca="1" ref="AM28" ca="1">[2]!HoadleyOptions2($C28,1,$D$5,AM$20,$D$8,$D$9,AM$22,$D$11,"c",$D$11)</f>
        <v>2.1573536819699601E-2</v>
      </c>
      <c r="AN28" s="73" cm="1">
        <f t="array" aca="1" ref="AN28" ca="1">[2]!HoadleyOptions2($C28,1,$D$5,AN$20,$D$8,$D$9,AN$22,$D$11,"c",$D$11)</f>
        <v>2.0986554175370053E-2</v>
      </c>
      <c r="AO28" s="73" cm="1">
        <f t="array" aca="1" ref="AO28" ca="1">[2]!HoadleyOptions2($C28,1,$D$5,AO$20,$D$8,$D$9,AO$22,$D$11,"c",$D$11)</f>
        <v>2.0440169301672233E-2</v>
      </c>
      <c r="AP28" s="73" cm="1">
        <f t="array" aca="1" ref="AP28" ca="1">[2]!HoadleyOptions2($C28,1,$D$5,AP$20,$D$8,$D$9,AP$22,$D$11,"c",$D$11)</f>
        <v>1.9930317483403754E-2</v>
      </c>
      <c r="AQ28" s="73" cm="1">
        <f t="array" aca="1" ref="AQ28" ca="1">[2]!HoadleyOptions2($C28,1,$D$5,AQ$20,$D$8,$D$9,AQ$22,$D$11,"c",$D$11)</f>
        <v>1.9453453515490458E-2</v>
      </c>
      <c r="AR28" s="73" cm="1">
        <f t="array" aca="1" ref="AR28" ca="1">[2]!HoadleyOptions2($C28,1,$D$5,AR$20,$D$8,$D$9,AR$22,$D$11,"c",$D$11)</f>
        <v>1.9006472106951736E-2</v>
      </c>
      <c r="AS28" s="73" cm="1">
        <f t="array" aca="1" ref="AS28" ca="1">[2]!HoadleyOptions2($C28,1,$D$5,AS$20,$D$8,$D$9,AS$22,$D$11,"c",$D$11)</f>
        <v>1.8586642356251761E-2</v>
      </c>
      <c r="AT28" s="73" cm="1">
        <f t="array" aca="1" ref="AT28" ca="1">[2]!HoadleyOptions2($C28,1,$D$5,AT$20,$D$8,$D$9,AT$22,$D$11,"c",$D$11)</f>
        <v>1.8191553500598139E-2</v>
      </c>
      <c r="AU28" s="73" cm="1">
        <f t="array" aca="1" ref="AU28" ca="1">[2]!HoadleyOptions2($C28,1,$D$5,AU$20,$D$8,$D$9,AU$22,$D$11,"c",$D$11)</f>
        <v>1.7819069755696495E-2</v>
      </c>
      <c r="AV28" s="73" cm="1">
        <f t="array" aca="1" ref="AV28" ca="1">[2]!HoadleyOptions2($C28,1,$D$5,AV$20,$D$8,$D$9,AV$22,$D$11,"c",$D$11)</f>
        <v>1.7467292529719878E-2</v>
      </c>
      <c r="AW28" s="73" cm="1">
        <f t="array" aca="1" ref="AW28" ca="1">[2]!HoadleyOptions2($C28,1,$D$5,AW$20,$D$8,$D$9,AW$22,$D$11,"c",$D$11)</f>
        <v>1.7134528653571152E-2</v>
      </c>
      <c r="AX28" s="73" cm="1">
        <f t="array" aca="1" ref="AX28" ca="1">[2]!HoadleyOptions2($C28,1,$D$5,AX$20,$D$8,$D$9,AX$22,$D$11,"c",$D$11)</f>
        <v>1.6819263546254782E-2</v>
      </c>
      <c r="AY28" s="73" cm="1">
        <f t="array" aca="1" ref="AY28" ca="1">[2]!HoadleyOptions2($C28,1,$D$5,AY$20,$D$8,$D$9,AY$22,$D$11,"c",$D$11)</f>
        <v>1.6520138449381175E-2</v>
      </c>
      <c r="AZ28" s="73" cm="1">
        <f t="array" aca="1" ref="AZ28" ca="1">[2]!HoadleyOptions2($C28,1,$D$5,AZ$20,$D$8,$D$9,AZ$22,$D$11,"c",$D$11)</f>
        <v>1.6235931033249589E-2</v>
      </c>
      <c r="BA28" s="73" cm="1">
        <f t="array" aca="1" ref="BA28" ca="1">[2]!HoadleyOptions2($C28,1,$D$5,BA$20,$D$8,$D$9,BA$22,$D$11,"c",$D$11)</f>
        <v>1.5965538809591007E-2</v>
      </c>
      <c r="BB28" s="73" cm="1">
        <f t="array" aca="1" ref="BB28" ca="1">[2]!HoadleyOptions2($C28,1,$D$5,BB$20,$D$8,$D$9,BB$22,$D$11,"c",$D$11)</f>
        <v>1.5707964891116005E-2</v>
      </c>
      <c r="BC28" s="73" cm="1">
        <f t="array" aca="1" ref="BC28" ca="1">[2]!HoadleyOptions2($C28,1,$D$5,BC$20,$D$8,$D$9,BC$22,$D$11,"c",$D$11)</f>
        <v>1.5462305721687606E-2</v>
      </c>
      <c r="BD28" s="73" cm="1">
        <f t="array" aca="1" ref="BD28" ca="1">[2]!HoadleyOptions2($C28,1,$D$5,BD$20,$D$8,$D$9,BD$22,$D$11,"c",$D$11)</f>
        <v>1.5227740467961137E-2</v>
      </c>
      <c r="BE28" s="73" cm="1">
        <f t="array" aca="1" ref="BE28" ca="1">[2]!HoadleyOptions2($C28,1,$D$5,BE$20,$D$8,$D$9,BE$22,$D$11,"c",$D$11)</f>
        <v>1.5003521817259556E-2</v>
      </c>
      <c r="BF28" s="73" cm="1">
        <f t="array" aca="1" ref="BF28" ca="1">[2]!HoadleyOptions2($C28,1,$D$5,BF$20,$D$8,$D$9,BF$22,$D$11,"c",$D$11)</f>
        <v>1.4788967970087663E-2</v>
      </c>
      <c r="BG28" s="73" cm="1">
        <f t="array" aca="1" ref="BG28" ca="1">[2]!HoadleyOptions2($C28,1,$D$5,BG$20,$D$8,$D$9,BG$22,$D$11,"c",$D$11)</f>
        <v>1.458345565112518E-2</v>
      </c>
      <c r="BH28" s="73" cm="1">
        <f t="array" aca="1" ref="BH28" ca="1">[2]!HoadleyOptions2($C28,1,$D$5,BH$20,$D$8,$D$9,BH$22,$D$11,"c",$D$11)</f>
        <v>1.4386413991482282E-2</v>
      </c>
      <c r="BI28" s="73" cm="1">
        <f t="array" aca="1" ref="BI28" ca="1">[2]!HoadleyOptions2($C28,1,$D$5,BI$20,$D$8,$D$9,BI$22,$D$11,"c",$D$11)</f>
        <v>1.4197319158708329E-2</v>
      </c>
      <c r="BJ28" s="73" cm="1">
        <f t="array" aca="1" ref="BJ28" ca="1">[2]!HoadleyOptions2($C28,1,$D$5,BJ$20,$D$8,$D$9,BJ$22,$D$11,"c",$D$11)</f>
        <v>1.4015689630574184E-2</v>
      </c>
      <c r="BK28" s="73" cm="1">
        <f t="array" aca="1" ref="BK28" ca="1">[2]!HoadleyOptions2($C28,1,$D$5,BK$20,$D$8,$D$9,BK$22,$D$11,"c",$D$11)</f>
        <v>1.3841082024772678E-2</v>
      </c>
      <c r="BL28" s="73" cm="1">
        <f t="array" aca="1" ref="BL28" ca="1">[2]!HoadleyOptions2($C28,1,$D$5,BL$20,$D$8,$D$9,BL$22,$D$11,"c",$D$11)</f>
        <v>1.3673087410067489E-2</v>
      </c>
      <c r="BM28" s="73" cm="1">
        <f t="array" aca="1" ref="BM28" ca="1">[2]!HoadleyOptions2($C28,1,$D$5,BM$20,$D$8,$D$9,BM$22,$D$11,"c",$D$11)</f>
        <v>1.3511328035557936E-2</v>
      </c>
      <c r="BN28" s="73" cm="1">
        <f t="array" aca="1" ref="BN28" ca="1">[2]!HoadleyOptions2($C28,1,$D$5,BN$20,$D$8,$D$9,BN$22,$D$11,"c",$D$11)</f>
        <v>1.3355454424032175E-2</v>
      </c>
      <c r="BO28" s="73" cm="1">
        <f t="array" aca="1" ref="BO28" ca="1">[2]!HoadleyOptions2($C28,1,$D$5,BO$20,$D$8,$D$9,BO$22,$D$11,"c",$D$11)</f>
        <v>1.3205142783187891E-2</v>
      </c>
      <c r="BP28" s="73" cm="1">
        <f t="array" aca="1" ref="BP28" ca="1">[2]!HoadleyOptions2($C28,1,$D$5,BP$20,$D$8,$D$9,BP$22,$D$11,"c",$D$11)</f>
        <v>1.3060092695054416E-2</v>
      </c>
      <c r="BQ28" s="73" cm="1">
        <f t="array" aca="1" ref="BQ28" ca="1">[2]!HoadleyOptions2($C28,1,$D$5,BQ$20,$D$8,$D$9,BQ$22,$D$11,"c",$D$11)</f>
        <v>1.2920025049490415E-2</v>
      </c>
      <c r="BR28" s="73" cm="1">
        <f t="array" aca="1" ref="BR28" ca="1">[2]!HoadleyOptions2($C28,1,$D$5,BR$20,$D$8,$D$9,BR$22,$D$11,"c",$D$11)</f>
        <v>1.2784680192313994E-2</v>
      </c>
      <c r="BS28" s="73" cm="1">
        <f t="array" aca="1" ref="BS28" ca="1">[2]!HoadleyOptions2($C28,1,$D$5,BS$20,$D$8,$D$9,BS$22,$D$11,"c",$D$11)</f>
        <v>1.2653816262596287E-2</v>
      </c>
      <c r="BT28" s="73" cm="1">
        <f t="array" aca="1" ref="BT28" ca="1">[2]!HoadleyOptions2($C28,1,$D$5,BT$20,$D$8,$D$9,BT$22,$D$11,"c",$D$11)</f>
        <v>1.2527207697036413E-2</v>
      </c>
    </row>
    <row r="29" spans="2:72" x14ac:dyDescent="0.25">
      <c r="B29" s="15"/>
      <c r="C29" s="74"/>
      <c r="F29" s="75"/>
      <c r="G29" s="15"/>
      <c r="Q29" s="69"/>
      <c r="R29" s="69"/>
      <c r="S29" s="69"/>
      <c r="T29" s="69"/>
      <c r="U29" s="69"/>
      <c r="V29" s="69"/>
      <c r="W29" s="69"/>
      <c r="X29" s="69"/>
      <c r="Y29" s="69"/>
      <c r="Z29" s="69"/>
      <c r="AA29" s="69"/>
      <c r="AB29" s="69"/>
      <c r="AC29" s="69"/>
      <c r="AD29" s="69"/>
      <c r="AE29" s="69"/>
      <c r="AF29" s="69"/>
      <c r="AG29" s="69"/>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69"/>
      <c r="BH29" s="69"/>
      <c r="BI29" s="69"/>
      <c r="BJ29" s="69"/>
      <c r="BK29" s="69"/>
      <c r="BL29" s="69"/>
      <c r="BM29" s="69"/>
      <c r="BN29" s="69"/>
      <c r="BO29" s="69"/>
      <c r="BP29" s="69"/>
      <c r="BQ29" s="69"/>
      <c r="BR29" s="69"/>
      <c r="BS29" s="69"/>
      <c r="BT29" s="69"/>
    </row>
    <row r="30" spans="2:72" x14ac:dyDescent="0.25">
      <c r="B30" s="9" t="s">
        <v>51</v>
      </c>
      <c r="C30" s="70" t="s">
        <v>52</v>
      </c>
      <c r="F30" s="65" t="s">
        <v>53</v>
      </c>
      <c r="G30" s="71" cm="1">
        <f t="array" aca="1" ref="G30" ca="1">[2]!HoadleySABROption($C30,$D$5,$D$6,G$20,$D$8,$D$9,$D$10,$D$11,$D$12,$D$13,$D$14)</f>
        <v>1.507328395433661E-2</v>
      </c>
      <c r="H30" s="71" cm="1">
        <f t="array" aca="1" ref="H30" ca="1">[2]!HoadleySABROption($C30,$D$5,$D$6,H$20,$D$8,$D$9,$D$10,$D$11,$D$12,$D$13,$D$14)</f>
        <v>8.1243257898933094E-2</v>
      </c>
      <c r="I30" s="71" cm="1">
        <f t="array" aca="1" ref="I30" ca="1">[2]!HoadleySABROption($C30,$D$5,$D$6,I$20,$D$8,$D$9,$D$10,$D$11,$D$12,$D$13,$D$14)</f>
        <v>0.19802384509937107</v>
      </c>
      <c r="J30" s="71" cm="1">
        <f t="array" aca="1" ref="J30" ca="1">[2]!HoadleySABROption($C30,$D$5,$D$6,J$20,$D$8,$D$9,$D$10,$D$11,$D$12,$D$13,$D$14)</f>
        <v>0.23527685366619988</v>
      </c>
      <c r="K30" s="71" cm="1">
        <f t="array" aca="1" ref="K30" ca="1">[2]!HoadleySABROption($C30,$D$5,$D$6,K$20,$D$8,$D$9,$D$10,$D$11,$D$12,$D$13,$D$14)</f>
        <v>0.18251653094436557</v>
      </c>
      <c r="L30" s="71" cm="1">
        <f t="array" aca="1" ref="L30" ca="1">[2]!HoadleySABROption($C30,$D$5,$D$6,L$20,$D$8,$D$9,$D$10,$D$11,$D$12,$D$13,$D$14)</f>
        <v>0.12302613505710275</v>
      </c>
      <c r="M30" s="71" cm="1">
        <f t="array" aca="1" ref="M30" ca="1">[2]!HoadleySABROption($C30,$D$5,$D$6,M$20,$D$8,$D$9,$D$10,$D$11,$D$12,$D$13,$D$14)</f>
        <v>8.232603296298717E-2</v>
      </c>
      <c r="N30" s="71" cm="1">
        <f t="array" aca="1" ref="N30" ca="1">[2]!HoadleySABROption($C30,$D$5,$D$6,N$20,$D$8,$D$9,$D$10,$D$11,$D$12,$D$13,$D$14)</f>
        <v>5.7008163828475872E-2</v>
      </c>
      <c r="O30" s="71" cm="1">
        <f t="array" aca="1" ref="O30" ca="1">[2]!HoadleySABROption($C30,$D$5,$D$6,O$20,$D$8,$D$9,$D$10,$D$11,$D$12,$D$13,$D$14)</f>
        <v>4.1157354468968087E-2</v>
      </c>
      <c r="P30" s="71" cm="1">
        <f t="array" aca="1" ref="P30" ca="1">[2]!HoadleySABROption($C30,$D$5,$D$6,P$20,$D$8,$D$9,$D$10,$D$11,$D$12,$D$13,$D$14)</f>
        <v>3.0890802152350197E-2</v>
      </c>
      <c r="Q30" s="71" cm="1">
        <f t="array" aca="1" ref="Q30" ca="1">[2]!HoadleySABROption($C30,$D$5,$D$6,Q$20,$D$8,$D$9,$D$10,$D$11,$D$12,$D$13,$D$14)</f>
        <v>2.3977247839979132E-2</v>
      </c>
      <c r="R30" s="71" cm="1">
        <f t="array" aca="1" ref="R30" ca="1">[2]!HoadleySABROption($C30,$D$5,$D$6,R$20,$D$8,$D$9,$D$10,$D$11,$D$12,$D$13,$D$14)</f>
        <v>1.9146756055632441E-2</v>
      </c>
      <c r="S30" s="71" cm="1">
        <f t="array" aca="1" ref="S30" ca="1">[2]!HoadleySABROption($C30,$D$5,$D$6,S$20,$D$8,$D$9,$D$10,$D$11,$D$12,$D$13,$D$14)</f>
        <v>1.5658742802404653E-2</v>
      </c>
      <c r="T30" s="71" cm="1">
        <f t="array" aca="1" ref="T30" ca="1">[2]!HoadleySABROption($C30,$D$5,$D$6,T$20,$D$8,$D$9,$D$10,$D$11,$D$12,$D$13,$D$14)</f>
        <v>1.3066550147433638E-2</v>
      </c>
      <c r="U30" s="71" cm="1">
        <f t="array" aca="1" ref="U30" ca="1">[2]!HoadleySABROption($C30,$D$5,$D$6,U$20,$D$8,$D$9,$D$10,$D$11,$D$12,$D$13,$D$14)</f>
        <v>1.1091286222786328E-2</v>
      </c>
      <c r="V30" s="71" cm="1">
        <f t="array" aca="1" ref="V30" ca="1">[2]!HoadleySABROption($C30,$D$5,$D$6,V$20,$D$8,$D$9,$D$10,$D$11,$D$12,$D$13,$D$14)</f>
        <v>9.553006705131933E-3</v>
      </c>
      <c r="W30" s="71" cm="1">
        <f t="array" aca="1" ref="W30" ca="1">[2]!HoadleySABROption($C30,$D$5,$D$6,W$20,$D$8,$D$9,$D$10,$D$11,$D$12,$D$13,$D$14)</f>
        <v>8.3320686808385815E-3</v>
      </c>
      <c r="X30" s="71" cm="1">
        <f t="array" aca="1" ref="X30" ca="1">[2]!HoadleySABROption($C30,$D$5,$D$6,X$20,$D$8,$D$9,$D$10,$D$11,$D$12,$D$13,$D$14)</f>
        <v>7.3467327707521547E-3</v>
      </c>
      <c r="Y30" s="71" cm="1">
        <f t="array" aca="1" ref="Y30" ca="1">[2]!HoadleySABROption($C30,$D$5,$D$6,Y$20,$D$8,$D$9,$D$10,$D$11,$D$12,$D$13,$D$14)</f>
        <v>6.5397824794422056E-3</v>
      </c>
      <c r="Z30" s="71" cm="1">
        <f t="array" aca="1" ref="Z30" ca="1">[2]!HoadleySABROption($C30,$D$5,$D$6,Z$20,$D$8,$D$9,$D$10,$D$11,$D$12,$D$13,$D$14)</f>
        <v>5.8702746691396994E-3</v>
      </c>
      <c r="AA30" s="71" cm="1">
        <f t="array" aca="1" ref="AA30" ca="1">[2]!HoadleySABROption($C30,$D$5,$D$6,AA$20,$D$8,$D$9,$D$10,$D$11,$D$12,$D$13,$D$14)</f>
        <v>5.3083327525294014E-3</v>
      </c>
      <c r="AB30" s="71" cm="1">
        <f t="array" aca="1" ref="AB30" ca="1">[2]!HoadleySABROption($C30,$D$5,$D$6,AB$20,$D$8,$D$9,$D$10,$D$11,$D$12,$D$13,$D$14)</f>
        <v>4.8317642317718982E-3</v>
      </c>
      <c r="AC30" s="71" cm="1">
        <f t="array" aca="1" ref="AC30" ca="1">[2]!HoadleySABROption($C30,$D$5,$D$6,AC$20,$D$8,$D$9,$D$10,$D$11,$D$12,$D$13,$D$14)</f>
        <v>4.4238199076174229E-3</v>
      </c>
      <c r="AD30" s="71" cm="1">
        <f t="array" aca="1" ref="AD30" ca="1">[2]!HoadleySABROption($C30,$D$5,$D$6,AD$20,$D$8,$D$9,$D$10,$D$11,$D$12,$D$13,$D$14)</f>
        <v>4.0716691615538831E-3</v>
      </c>
      <c r="AE30" s="71" cm="1">
        <f t="array" aca="1" ref="AE30" ca="1">[2]!HoadleySABROption($C30,$D$5,$D$6,AE$20,$D$8,$D$9,$D$10,$D$11,$D$12,$D$13,$D$14)</f>
        <v>3.7653557043160219E-3</v>
      </c>
      <c r="AF30" s="71" cm="1">
        <f t="array" aca="1" ref="AF30" ca="1">[2]!HoadleySABROption($C30,$D$5,$D$6,AF$20,$D$8,$D$9,$D$10,$D$11,$D$12,$D$13,$D$14)</f>
        <v>3.4970596175798469E-3</v>
      </c>
      <c r="AG30" s="71" cm="1">
        <f t="array" aca="1" ref="AG30" ca="1">[2]!HoadleySABROption($C30,$D$5,$D$6,AG$20,$D$8,$D$9,$D$10,$D$11,$D$12,$D$13,$D$14)</f>
        <v>3.2605691896447925E-3</v>
      </c>
      <c r="AH30" s="71" cm="1">
        <f t="array" aca="1" ref="AH30" ca="1">[2]!HoadleySABROption($C30,$D$5,$D$6,AH$20,$D$8,$D$9,$D$10,$D$11,$D$12,$D$13,$D$14)</f>
        <v>3.0509001124057202E-3</v>
      </c>
      <c r="AI30" s="71" cm="1">
        <f t="array" aca="1" ref="AI30" ca="1">[2]!HoadleySABROption($C30,$D$5,$D$6,AI$20,$D$8,$D$9,$D$10,$D$11,$D$12,$D$13,$D$14)</f>
        <v>2.8640153894310418E-3</v>
      </c>
      <c r="AJ30" s="71" cm="1">
        <f t="array" aca="1" ref="AJ30" ca="1">[2]!HoadleySABROption($C30,$D$5,$D$6,AJ$20,$D$8,$D$9,$D$10,$D$11,$D$12,$D$13,$D$14)</f>
        <v>2.6966188657051595E-3</v>
      </c>
      <c r="AK30" s="71" cm="1">
        <f t="array" aca="1" ref="AK30" ca="1">[2]!HoadleySABROption($C30,$D$5,$D$6,AK$20,$D$8,$D$9,$D$10,$D$11,$D$12,$D$13,$D$14)</f>
        <v>2.5459948212180907E-3</v>
      </c>
      <c r="AL30" s="71" cm="1">
        <f t="array" aca="1" ref="AL30" ca="1">[2]!HoadleySABROption($C30,$D$5,$D$6,AL$20,$D$8,$D$9,$D$10,$D$11,$D$12,$D$13,$D$14)</f>
        <v>2.4098900271163361E-3</v>
      </c>
      <c r="AM30" s="71" cm="1">
        <f t="array" aca="1" ref="AM30" ca="1">[2]!HoadleySABROption($C30,$D$5,$D$6,AM$20,$D$8,$D$9,$D$10,$D$11,$D$12,$D$13,$D$14)</f>
        <v>2.2864221869978172E-3</v>
      </c>
      <c r="AN30" s="71" cm="1">
        <f t="array" aca="1" ref="AN30" ca="1">[2]!HoadleySABROption($C30,$D$5,$D$6,AN$20,$D$8,$D$9,$D$10,$D$11,$D$12,$D$13,$D$14)</f>
        <v>2.1740089416188999E-3</v>
      </c>
      <c r="AO30" s="71" cm="1">
        <f t="array" aca="1" ref="AO30" ca="1">[2]!HoadleySABROption($C30,$D$5,$D$6,AO$20,$D$8,$D$9,$D$10,$D$11,$D$12,$D$13,$D$14)</f>
        <v>2.0713112787451591E-3</v>
      </c>
      <c r="AP30" s="71" cm="1">
        <f t="array" aca="1" ref="AP30" ca="1">[2]!HoadleySABROption($C30,$D$5,$D$6,AP$20,$D$8,$D$9,$D$10,$D$11,$D$12,$D$13,$D$14)</f>
        <v>1.9771902101672909E-3</v>
      </c>
      <c r="AQ30" s="71" cm="1">
        <f t="array" aca="1" ref="AQ30" ca="1">[2]!HoadleySABROption($C30,$D$5,$D$6,AQ$20,$D$8,$D$9,$D$10,$D$11,$D$12,$D$13,$D$14)</f>
        <v>1.8906730694934213E-3</v>
      </c>
      <c r="AR30" s="71" cm="1">
        <f t="array" aca="1" ref="AR30" ca="1">[2]!HoadleySABROption($C30,$D$5,$D$6,AR$20,$D$8,$D$9,$D$10,$D$11,$D$12,$D$13,$D$14)</f>
        <v>1.8109217007900033E-3</v>
      </c>
      <c r="AS30" s="71" cm="1">
        <f t="array" aca="1" ref="AS30" ca="1">[2]!HoadleySABROption($C30,$D$5,$D$6,AS$20,$D$8,$D$9,$D$10,$D$11,$D$12,$D$13,$D$14)</f>
        <v>1.7372128319204103E-3</v>
      </c>
      <c r="AT30" s="71" cm="1">
        <f t="array" aca="1" ref="AT30" ca="1">[2]!HoadleySABROption($C30,$D$5,$D$6,AT$20,$D$8,$D$9,$D$10,$D$11,$D$12,$D$13,$D$14)</f>
        <v>1.6689203595487987E-3</v>
      </c>
      <c r="AU30" s="71" cm="1">
        <f t="array" aca="1" ref="AU30" ca="1">[2]!HoadleySABROption($C30,$D$5,$D$6,AU$20,$D$8,$D$9,$D$10,$D$11,$D$12,$D$13,$D$14)</f>
        <v>1.6054975925106081E-3</v>
      </c>
      <c r="AV30" s="71" cm="1">
        <f t="array" aca="1" ref="AV30" ca="1">[2]!HoadleySABROption($C30,$D$5,$D$6,AV$20,$D$8,$D$9,$D$10,$D$11,$D$12,$D$13,$D$14)</f>
        <v>1.5464675616472252E-3</v>
      </c>
      <c r="AW30" s="71" cm="1">
        <f t="array" aca="1" ref="AW30" ca="1">[2]!HoadleySABROption($C30,$D$5,$D$6,AW$20,$D$8,$D$9,$D$10,$D$11,$D$12,$D$13,$D$14)</f>
        <v>1.4914098983576103E-3</v>
      </c>
      <c r="AX30" s="71" cm="1">
        <f t="array" aca="1" ref="AX30" ca="1">[2]!HoadleySABROption($C30,$D$5,$D$6,AX$20,$D$8,$D$9,$D$10,$D$11,$D$12,$D$13,$D$14)</f>
        <v>1.4399573339263234E-3</v>
      </c>
      <c r="AY30" s="71" cm="1">
        <f t="array" aca="1" ref="AY30" ca="1">[2]!HoadleySABROption($C30,$D$5,$D$6,AY$20,$D$8,$D$9,$D$10,$D$11,$D$12,$D$13,$D$14)</f>
        <v>1.3917828868559308E-3</v>
      </c>
      <c r="AZ30" s="71" cm="1">
        <f t="array" aca="1" ref="AZ30" ca="1">[2]!HoadleySABROption($C30,$D$5,$D$6,AZ$20,$D$8,$D$9,$D$10,$D$11,$D$12,$D$13,$D$14)</f>
        <v>1.3465952727886872E-3</v>
      </c>
      <c r="BA30" s="71" cm="1">
        <f t="array" aca="1" ref="BA30" ca="1">[2]!HoadleySABROption($C30,$D$5,$D$6,BA$20,$D$8,$D$9,$D$10,$D$11,$D$12,$D$13,$D$14)</f>
        <v>1.3041395810486917E-3</v>
      </c>
      <c r="BB30" s="71" cm="1">
        <f t="array" aca="1" ref="BB30" ca="1">[2]!HoadleySABROption($C30,$D$5,$D$6,BB$20,$D$8,$D$9,$D$10,$D$11,$D$12,$D$13,$D$14)</f>
        <v>1.264185710975197E-3</v>
      </c>
      <c r="BC30" s="71" cm="1">
        <f t="array" aca="1" ref="BC30" ca="1">[2]!HoadleySABROption($C30,$D$5,$D$6,BC$20,$D$8,$D$9,$D$10,$D$11,$D$12,$D$13,$D$14)</f>
        <v>1.2265282470225187E-3</v>
      </c>
      <c r="BD30" s="71" cm="1">
        <f t="array" aca="1" ref="BD30" ca="1">[2]!HoadleySABROption($C30,$D$5,$D$6,BD$20,$D$8,$D$9,$D$10,$D$11,$D$12,$D$13,$D$14)</f>
        <v>1.1909828991074629E-3</v>
      </c>
      <c r="BE30" s="71" cm="1">
        <f t="array" aca="1" ref="BE30" ca="1">[2]!HoadleySABROption($C30,$D$5,$D$6,BE$20,$D$8,$D$9,$D$10,$D$11,$D$12,$D$13,$D$14)</f>
        <v>1.1573841156298232E-3</v>
      </c>
      <c r="BF30" s="71" cm="1">
        <f t="array" aca="1" ref="BF30" ca="1">[2]!HoadleySABROption($C30,$D$5,$D$6,BF$20,$D$8,$D$9,$D$10,$D$11,$D$12,$D$13,$D$14)</f>
        <v>1.1255829150680356E-3</v>
      </c>
      <c r="BG30" s="71" cm="1">
        <f t="array" aca="1" ref="BG30" ca="1">[2]!HoadleySABROption($C30,$D$5,$D$6,BG$20,$D$8,$D$9,$D$10,$D$11,$D$12,$D$13,$D$14)</f>
        <v>1.0954448355360307E-3</v>
      </c>
      <c r="BH30" s="71" cm="1">
        <f t="array" aca="1" ref="BH30" ca="1">[2]!HoadleySABROption($C30,$D$5,$D$6,BH$20,$D$8,$D$9,$D$10,$D$11,$D$12,$D$13,$D$14)</f>
        <v>1.0668471800423522E-3</v>
      </c>
      <c r="BI30" s="71" cm="1">
        <f t="array" aca="1" ref="BI30" ca="1">[2]!HoadleySABROption($C30,$D$5,$D$6,BI$20,$D$8,$D$9,$D$10,$D$11,$D$12,$D$13,$D$14)</f>
        <v>1.039680213449357E-3</v>
      </c>
      <c r="BJ30" s="71" cm="1">
        <f t="array" aca="1" ref="BJ30" ca="1">[2]!HoadleySABROption($C30,$D$5,$D$6,BJ$20,$D$8,$D$9,$D$10,$D$11,$D$12,$D$13,$D$14)</f>
        <v>1.0138427805617138E-3</v>
      </c>
      <c r="BK30" s="71" cm="1">
        <f t="array" aca="1" ref="BK30" ca="1">[2]!HoadleySABROption($C30,$D$5,$D$6,BK$20,$D$8,$D$9,$D$10,$D$11,$D$12,$D$13,$D$14)</f>
        <v>9.8924294797408984E-4</v>
      </c>
      <c r="BL30" s="71" cm="1">
        <f t="array" aca="1" ref="BL30" ca="1">[2]!HoadleySABROption($C30,$D$5,$D$6,BL$20,$D$8,$D$9,$D$10,$D$11,$D$12,$D$13,$D$14)</f>
        <v>9.6579797631557484E-4</v>
      </c>
      <c r="BM30" s="71" cm="1">
        <f t="array" aca="1" ref="BM30" ca="1">[2]!HoadleySABROption($C30,$D$5,$D$6,BM$20,$D$8,$D$9,$D$10,$D$11,$D$12,$D$13,$D$14)</f>
        <v>9.4342986201034805E-4</v>
      </c>
      <c r="BN30" s="71" cm="1">
        <f t="array" aca="1" ref="BN30" ca="1">[2]!HoadleySABROption($C30,$D$5,$D$6,BN$20,$D$8,$D$9,$D$10,$D$11,$D$12,$D$13,$D$14)</f>
        <v>9.2207043389525055E-4</v>
      </c>
      <c r="BO30" s="71" cm="1">
        <f t="array" aca="1" ref="BO30" ca="1">[2]!HoadleySABROption($C30,$D$5,$D$6,BO$20,$D$8,$D$9,$D$10,$D$11,$D$12,$D$13,$D$14)</f>
        <v>9.0165432065081362E-4</v>
      </c>
      <c r="BP30" s="71" cm="1">
        <f t="array" aca="1" ref="BP30" ca="1">[2]!HoadleySABROption($C30,$D$5,$D$6,BP$20,$D$8,$D$9,$D$10,$D$11,$D$12,$D$13,$D$14)</f>
        <v>8.8212301005419257E-4</v>
      </c>
      <c r="BQ30" s="71" cm="1">
        <f t="array" aca="1" ref="BQ30" ca="1">[2]!HoadleySABROption($C30,$D$5,$D$6,BQ$20,$D$8,$D$9,$D$10,$D$11,$D$12,$D$13,$D$14)</f>
        <v>8.6342140555306689E-4</v>
      </c>
      <c r="BR30" s="71" cm="1">
        <f t="array" aca="1" ref="BR30" ca="1">[2]!HoadleySABROption($C30,$D$5,$D$6,BR$20,$D$8,$D$9,$D$10,$D$11,$D$12,$D$13,$D$14)</f>
        <v>8.4549964772529006E-4</v>
      </c>
      <c r="BS30" s="71" cm="1">
        <f t="array" aca="1" ref="BS30" ca="1">[2]!HoadleySABROption($C30,$D$5,$D$6,BS$20,$D$8,$D$9,$D$10,$D$11,$D$12,$D$13,$D$14)</f>
        <v>8.2831197976973624E-4</v>
      </c>
      <c r="BT30" s="71" cm="1">
        <f t="array" aca="1" ref="BT30" ca="1">[2]!HoadleySABROption($C30,$D$5,$D$6,BT$20,$D$8,$D$9,$D$10,$D$11,$D$12,$D$13,$D$14)</f>
        <v>8.1181501104810082E-4</v>
      </c>
    </row>
    <row r="31" spans="2:72" x14ac:dyDescent="0.25">
      <c r="B31" s="15"/>
      <c r="C31" s="72" t="s">
        <v>52</v>
      </c>
      <c r="F31" s="65" t="s">
        <v>54</v>
      </c>
      <c r="G31" s="73" cm="1">
        <f t="array" aca="1" ref="G31" ca="1">[2]!HoadleyOptions2($C31,1,$D$5,G$20,$D$8,$D$9,G$22,$D$11,"c",$D$11)</f>
        <v>2.6399257322176323E-2</v>
      </c>
      <c r="H31" s="73" cm="1">
        <f t="array" aca="1" ref="H31" ca="1">[2]!HoadleyOptions2($C31,1,$D$5,H$20,$D$8,$D$9,H$22,$D$11,"c",$D$11)</f>
        <v>9.3797648133344111E-2</v>
      </c>
      <c r="I31" s="73" cm="1">
        <f t="array" aca="1" ref="I31" ca="1">[2]!HoadleyOptions2($C31,1,$D$5,I$20,$D$8,$D$9,I$22,$D$11,"c",$D$11)</f>
        <v>0.17458158567774612</v>
      </c>
      <c r="J31" s="73" cm="1">
        <f t="array" aca="1" ref="J31" ca="1">[2]!HoadleyOptions2($C31,1,$D$5,J$20,$D$8,$D$9,J$22,$D$11,"c",$D$11)</f>
        <v>0.20326408471811133</v>
      </c>
      <c r="K31" s="73" cm="1">
        <f t="array" aca="1" ref="K31" ca="1">[2]!HoadleyOptions2($C31,1,$D$5,K$20,$D$8,$D$9,K$22,$D$11,"c",$D$11)</f>
        <v>0.18287013681044789</v>
      </c>
      <c r="L31" s="73" cm="1">
        <f t="array" aca="1" ref="L31" ca="1">[2]!HoadleyOptions2($C31,1,$D$5,L$20,$D$8,$D$9,L$22,$D$11,"c",$D$11)</f>
        <v>0.14967902921446286</v>
      </c>
      <c r="M31" s="73" cm="1">
        <f t="array" aca="1" ref="M31" ca="1">[2]!HoadleyOptions2($C31,1,$D$5,M$20,$D$8,$D$9,M$22,$D$11,"c",$D$11)</f>
        <v>0.12040886872808103</v>
      </c>
      <c r="N31" s="73" cm="1">
        <f t="array" aca="1" ref="N31" ca="1">[2]!HoadleyOptions2($C31,1,$D$5,N$20,$D$8,$D$9,N$22,$D$11,"c",$D$11)</f>
        <v>9.788494502396973E-2</v>
      </c>
      <c r="O31" s="73" cm="1">
        <f t="array" aca="1" ref="O31" ca="1">[2]!HoadleyOptions2($C31,1,$D$5,O$20,$D$8,$D$9,O$22,$D$11,"c",$D$11)</f>
        <v>8.1050048446681774E-2</v>
      </c>
      <c r="P31" s="73" cm="1">
        <f t="array" aca="1" ref="P31" ca="1">[2]!HoadleyOptions2($C31,1,$D$5,P$20,$D$8,$D$9,P$22,$D$11,"c",$D$11)</f>
        <v>6.8407015157889869E-2</v>
      </c>
      <c r="Q31" s="73" cm="1">
        <f t="array" aca="1" ref="Q31" ca="1">[2]!HoadleyOptions2($C31,1,$D$5,Q$20,$D$8,$D$9,Q$22,$D$11,"c",$D$11)</f>
        <v>5.8760654444964928E-2</v>
      </c>
      <c r="R31" s="73" cm="1">
        <f t="array" aca="1" ref="R31" ca="1">[2]!HoadleyOptions2($C31,1,$D$5,R$20,$D$8,$D$9,R$22,$D$11,"c",$D$11)</f>
        <v>5.1261769405012703E-2</v>
      </c>
      <c r="S31" s="73" cm="1">
        <f t="array" aca="1" ref="S31" ca="1">[2]!HoadleyOptions2($C31,1,$D$5,S$20,$D$8,$D$9,S$22,$D$11,"c",$D$11)</f>
        <v>4.5323290924134785E-2</v>
      </c>
      <c r="T31" s="73" cm="1">
        <f t="array" aca="1" ref="T31" ca="1">[2]!HoadleyOptions2($C31,1,$D$5,T$20,$D$8,$D$9,T$22,$D$11,"c",$D$11)</f>
        <v>4.0538693640348414E-2</v>
      </c>
      <c r="U31" s="73" cm="1">
        <f t="array" aca="1" ref="U31" ca="1">[2]!HoadleyOptions2($C31,1,$D$5,U$20,$D$8,$D$9,U$22,$D$11,"c",$D$11)</f>
        <v>3.662294364366446E-2</v>
      </c>
      <c r="V31" s="73" cm="1">
        <f t="array" aca="1" ref="V31" ca="1">[2]!HoadleyOptions2($C31,1,$D$5,V$20,$D$8,$D$9,V$22,$D$11,"c",$D$11)</f>
        <v>3.3372896390490257E-2</v>
      </c>
      <c r="W31" s="73" cm="1">
        <f t="array" aca="1" ref="W31" ca="1">[2]!HoadleyOptions2($C31,1,$D$5,W$20,$D$8,$D$9,W$22,$D$11,"c",$D$11)</f>
        <v>3.0641240533932444E-2</v>
      </c>
      <c r="X31" s="73" cm="1">
        <f t="array" aca="1" ref="X31" ca="1">[2]!HoadleyOptions2($C31,1,$D$5,X$20,$D$8,$D$9,X$22,$D$11,"c",$D$11)</f>
        <v>2.8319319517683871E-2</v>
      </c>
      <c r="Y31" s="73" cm="1">
        <f t="array" aca="1" ref="Y31" ca="1">[2]!HoadleyOptions2($C31,1,$D$5,Y$20,$D$8,$D$9,Y$22,$D$11,"c",$D$11)</f>
        <v>2.632568337000828E-2</v>
      </c>
      <c r="Z31" s="73" cm="1">
        <f t="array" aca="1" ref="Z31" ca="1">[2]!HoadleyOptions2($C31,1,$D$5,Z$20,$D$8,$D$9,Z$22,$D$11,"c",$D$11)</f>
        <v>2.4598348524099103E-2</v>
      </c>
      <c r="AA31" s="73" cm="1">
        <f t="array" aca="1" ref="AA31" ca="1">[2]!HoadleyOptions2($C31,1,$D$5,AA$20,$D$8,$D$9,AA$22,$D$11,"c",$D$11)</f>
        <v>2.3089481915886664E-2</v>
      </c>
      <c r="AB31" s="73" cm="1">
        <f t="array" aca="1" ref="AB31" ca="1">[2]!HoadleyOptions2($C31,1,$D$5,AB$20,$D$8,$D$9,AB$22,$D$11,"c",$D$11)</f>
        <v>2.1761691850417767E-2</v>
      </c>
      <c r="AC31" s="73" cm="1">
        <f t="array" aca="1" ref="AC31" ca="1">[2]!HoadleyOptions2($C31,1,$D$5,AC$20,$D$8,$D$9,AC$22,$D$11,"c",$D$11)</f>
        <v>2.0585399846539013E-2</v>
      </c>
      <c r="AD31" s="73" cm="1">
        <f t="array" aca="1" ref="AD31" ca="1">[2]!HoadleyOptions2($C31,1,$D$5,AD$20,$D$8,$D$9,AD$22,$D$11,"c",$D$11)</f>
        <v>1.9536950861335868E-2</v>
      </c>
      <c r="AE31" s="73" cm="1">
        <f t="array" aca="1" ref="AE31" ca="1">[2]!HoadleyOptions2($C31,1,$D$5,AE$20,$D$8,$D$9,AE$22,$D$11,"c",$D$11)</f>
        <v>1.8597235449875658E-2</v>
      </c>
      <c r="AF31" s="73" cm="1">
        <f t="array" aca="1" ref="AF31" ca="1">[2]!HoadleyOptions2($C31,1,$D$5,AF$20,$D$8,$D$9,AF$22,$D$11,"c",$D$11)</f>
        <v>1.7750671988039077E-2</v>
      </c>
      <c r="AG31" s="73" cm="1">
        <f t="array" aca="1" ref="AG31" ca="1">[2]!HoadleyOptions2($C31,1,$D$5,AG$20,$D$8,$D$9,AG$22,$D$11,"c",$D$11)</f>
        <v>1.6984445622007616E-2</v>
      </c>
      <c r="AH31" s="73" cm="1">
        <f t="array" aca="1" ref="AH31" ca="1">[2]!HoadleyOptions2($C31,1,$D$5,AH$20,$D$8,$D$9,AH$22,$D$11,"c",$D$11)</f>
        <v>1.6287932644464695E-2</v>
      </c>
      <c r="AI31" s="73" cm="1">
        <f t="array" aca="1" ref="AI31" ca="1">[2]!HoadleyOptions2($C31,1,$D$5,AI$20,$D$8,$D$9,AI$22,$D$11,"c",$D$11)</f>
        <v>1.565226044012033E-2</v>
      </c>
      <c r="AJ31" s="73" cm="1">
        <f t="array" aca="1" ref="AJ31" ca="1">[2]!HoadleyOptions2($C31,1,$D$5,AJ$20,$D$8,$D$9,AJ$22,$D$11,"c",$D$11)</f>
        <v>1.5069967690940355E-2</v>
      </c>
      <c r="AK31" s="73" cm="1">
        <f t="array" aca="1" ref="AK31" ca="1">[2]!HoadleyOptions2($C31,1,$D$5,AK$20,$D$8,$D$9,AK$22,$D$11,"c",$D$11)</f>
        <v>1.4534739531108258E-2</v>
      </c>
      <c r="AL31" s="73" cm="1">
        <f t="array" aca="1" ref="AL31" ca="1">[2]!HoadleyOptions2($C31,1,$D$5,AL$20,$D$8,$D$9,AL$22,$D$11,"c",$D$11)</f>
        <v>1.4041199301486975E-2</v>
      </c>
      <c r="AM31" s="73" cm="1">
        <f t="array" aca="1" ref="AM31" ca="1">[2]!HoadleyOptions2($C31,1,$D$5,AM$20,$D$8,$D$9,AM$22,$D$11,"c",$D$11)</f>
        <v>1.3584743455227703E-2</v>
      </c>
      <c r="AN31" s="73" cm="1">
        <f t="array" aca="1" ref="AN31" ca="1">[2]!HoadleyOptions2($C31,1,$D$5,AN$20,$D$8,$D$9,AN$22,$D$11,"c",$D$11)</f>
        <v>1.3161409657859269E-2</v>
      </c>
      <c r="AO31" s="73" cm="1">
        <f t="array" aca="1" ref="AO31" ca="1">[2]!HoadleyOptions2($C31,1,$D$5,AO$20,$D$8,$D$9,AO$22,$D$11,"c",$D$11)</f>
        <v>1.2767770639151861E-2</v>
      </c>
      <c r="AP31" s="73" cm="1">
        <f t="array" aca="1" ref="AP31" ca="1">[2]!HoadleyOptions2($C31,1,$D$5,AP$20,$D$8,$D$9,AP$22,$D$11,"c",$D$11)</f>
        <v>1.2400848182537057E-2</v>
      </c>
      <c r="AQ31" s="73" cm="1">
        <f t="array" aca="1" ref="AQ31" ca="1">[2]!HoadleyOptions2($C31,1,$D$5,AQ$20,$D$8,$D$9,AQ$22,$D$11,"c",$D$11)</f>
        <v>1.2058042980643068E-2</v>
      </c>
      <c r="AR31" s="73" cm="1">
        <f t="array" aca="1" ref="AR31" ca="1">[2]!HoadleyOptions2($C31,1,$D$5,AR$20,$D$8,$D$9,AR$22,$D$11,"c",$D$11)</f>
        <v>1.1737077080633502E-2</v>
      </c>
      <c r="AS31" s="73" cm="1">
        <f t="array" aca="1" ref="AS31" ca="1">[2]!HoadleyOptions2($C31,1,$D$5,AS$20,$D$8,$D$9,AS$22,$D$11,"c",$D$11)</f>
        <v>1.1435946386934601E-2</v>
      </c>
      <c r="AT31" s="73" cm="1">
        <f t="array" aca="1" ref="AT31" ca="1">[2]!HoadleyOptions2($C31,1,$D$5,AT$20,$D$8,$D$9,AT$22,$D$11,"c",$D$11)</f>
        <v>1.1152881249614085E-2</v>
      </c>
      <c r="AU31" s="73" cm="1">
        <f t="array" aca="1" ref="AU31" ca="1">[2]!HoadleyOptions2($C31,1,$D$5,AU$20,$D$8,$D$9,AU$22,$D$11,"c",$D$11)</f>
        <v>1.0886313592568636E-2</v>
      </c>
      <c r="AV31" s="73" cm="1">
        <f t="array" aca="1" ref="AV31" ca="1">[2]!HoadleyOptions2($C31,1,$D$5,AV$20,$D$8,$D$9,AV$22,$D$11,"c",$D$11)</f>
        <v>1.0634849361593934E-2</v>
      </c>
      <c r="AW31" s="73" cm="1">
        <f t="array" aca="1" ref="AW31" ca="1">[2]!HoadleyOptions2($C31,1,$D$5,AW$20,$D$8,$D$9,AW$22,$D$11,"c",$D$11)</f>
        <v>1.0397245323588364E-2</v>
      </c>
      <c r="AX31" s="73" cm="1">
        <f t="array" aca="1" ref="AX31" ca="1">[2]!HoadleyOptions2($C31,1,$D$5,AX$20,$D$8,$D$9,AX$22,$D$11,"c",$D$11)</f>
        <v>1.0172389443018192E-2</v>
      </c>
      <c r="AY31" s="73" cm="1">
        <f t="array" aca="1" ref="AY31" ca="1">[2]!HoadleyOptions2($C31,1,$D$5,AY$20,$D$8,$D$9,AY$22,$D$11,"c",$D$11)</f>
        <v>9.9592842139435197E-3</v>
      </c>
      <c r="AZ31" s="73" cm="1">
        <f t="array" aca="1" ref="AZ31" ca="1">[2]!HoadleyOptions2($C31,1,$D$5,AZ$20,$D$8,$D$9,AZ$22,$D$11,"c",$D$11)</f>
        <v>9.7570324454484703E-3</v>
      </c>
      <c r="BA31" s="73" cm="1">
        <f t="array" aca="1" ref="BA31" ca="1">[2]!HoadleyOptions2($C31,1,$D$5,BA$20,$D$8,$D$9,BA$22,$D$11,"c",$D$11)</f>
        <v>9.5648250927870826E-3</v>
      </c>
      <c r="BB31" s="73" cm="1">
        <f t="array" aca="1" ref="BB31" ca="1">[2]!HoadleyOptions2($C31,1,$D$5,BB$20,$D$8,$D$9,BB$22,$D$11,"c",$D$11)</f>
        <v>9.3819308016232696E-3</v>
      </c>
      <c r="BC31" s="73" cm="1">
        <f t="array" aca="1" ref="BC31" ca="1">[2]!HoadleyOptions2($C31,1,$D$5,BC$20,$D$8,$D$9,BC$22,$D$11,"c",$D$11)</f>
        <v>9.2076868927040735E-3</v>
      </c>
      <c r="BD31" s="73" cm="1">
        <f t="array" aca="1" ref="BD31" ca="1">[2]!HoadleyOptions2($C31,1,$D$5,BD$20,$D$8,$D$9,BD$22,$D$11,"c",$D$11)</f>
        <v>9.0414915624584518E-3</v>
      </c>
      <c r="BE31" s="73" cm="1">
        <f t="array" aca="1" ref="BE31" ca="1">[2]!HoadleyOptions2($C31,1,$D$5,BE$20,$D$8,$D$9,BE$22,$D$11,"c",$D$11)</f>
        <v>8.8827971138576746E-3</v>
      </c>
      <c r="BF31" s="73" cm="1">
        <f t="array" aca="1" ref="BF31" ca="1">[2]!HoadleyOptions2($C31,1,$D$5,BF$20,$D$8,$D$9,BF$22,$D$11,"c",$D$11)</f>
        <v>8.73110406336851E-3</v>
      </c>
      <c r="BG31" s="73" cm="1">
        <f t="array" aca="1" ref="BG31" ca="1">[2]!HoadleyOptions2($C31,1,$D$5,BG$20,$D$8,$D$9,BG$22,$D$11,"c",$D$11)</f>
        <v>8.5859559954689808E-3</v>
      </c>
      <c r="BH31" s="73" cm="1">
        <f t="array" aca="1" ref="BH31" ca="1">[2]!HoadleyOptions2($C31,1,$D$5,BH$20,$D$8,$D$9,BH$22,$D$11,"c",$D$11)</f>
        <v>8.4469350571696068E-3</v>
      </c>
      <c r="BI31" s="73" cm="1">
        <f t="array" aca="1" ref="BI31" ca="1">[2]!HoadleyOptions2($C31,1,$D$5,BI$20,$D$8,$D$9,BI$22,$D$11,"c",$D$11)</f>
        <v>8.3136580021988642E-3</v>
      </c>
      <c r="BJ31" s="73" cm="1">
        <f t="array" aca="1" ref="BJ31" ca="1">[2]!HoadleyOptions2($C31,1,$D$5,BJ$20,$D$8,$D$9,BJ$22,$D$11,"c",$D$11)</f>
        <v>8.1857727087115972E-3</v>
      </c>
      <c r="BK31" s="73" cm="1">
        <f t="array" aca="1" ref="BK31" ca="1">[2]!HoadleyOptions2($C31,1,$D$5,BK$20,$D$8,$D$9,BK$22,$D$11,"c",$D$11)</f>
        <v>8.0629551061234678E-3</v>
      </c>
      <c r="BL31" s="73" cm="1">
        <f t="array" aca="1" ref="BL31" ca="1">[2]!HoadleyOptions2($C31,1,$D$5,BL$20,$D$8,$D$9,BL$22,$D$11,"c",$D$11)</f>
        <v>7.9449064564363365E-3</v>
      </c>
      <c r="BM31" s="73" cm="1">
        <f t="array" aca="1" ref="BM31" ca="1">[2]!HoadleyOptions2($C31,1,$D$5,BM$20,$D$8,$D$9,BM$22,$D$11,"c",$D$11)</f>
        <v>7.83135094355248E-3</v>
      </c>
      <c r="BN31" s="73" cm="1">
        <f t="array" aca="1" ref="BN31" ca="1">[2]!HoadleyOptions2($C31,1,$D$5,BN$20,$D$8,$D$9,BN$22,$D$11,"c",$D$11)</f>
        <v>7.7220335308787538E-3</v>
      </c>
      <c r="BO31" s="73" cm="1">
        <f t="array" aca="1" ref="BO31" ca="1">[2]!HoadleyOptions2($C31,1,$D$5,BO$20,$D$8,$D$9,BO$22,$D$11,"c",$D$11)</f>
        <v>7.6167180532341408E-3</v>
      </c>
      <c r="BP31" s="73" cm="1">
        <f t="array" aca="1" ref="BP31" ca="1">[2]!HoadleyOptions2($C31,1,$D$5,BP$20,$D$8,$D$9,BP$22,$D$11,"c",$D$11)</f>
        <v>7.5151855138767395E-3</v>
      </c>
      <c r="BQ31" s="73" cm="1">
        <f t="array" aca="1" ref="BQ31" ca="1">[2]!HoadleyOptions2($C31,1,$D$5,BQ$20,$D$8,$D$9,BQ$22,$D$11,"c",$D$11)</f>
        <v>7.4172325615295244E-3</v>
      </c>
      <c r="BR31" s="73" cm="1">
        <f t="array" aca="1" ref="BR31" ca="1">[2]!HoadleyOptions2($C31,1,$D$5,BR$20,$D$8,$D$9,BR$22,$D$11,"c",$D$11)</f>
        <v>7.3226701257187781E-3</v>
      </c>
      <c r="BS31" s="73" cm="1">
        <f t="array" aca="1" ref="BS31" ca="1">[2]!HoadleyOptions2($C31,1,$D$5,BS$20,$D$8,$D$9,BS$22,$D$11,"c",$D$11)</f>
        <v>7.231322191659971E-3</v>
      </c>
      <c r="BT31" s="73" cm="1">
        <f t="array" aca="1" ref="BT31" ca="1">[2]!HoadleyOptions2($C31,1,$D$5,BT$20,$D$8,$D$9,BT$22,$D$11,"c",$D$11)</f>
        <v>7.1430246984137084E-3</v>
      </c>
    </row>
    <row r="32" spans="2:72" x14ac:dyDescent="0.25">
      <c r="B32" s="15"/>
      <c r="C32" s="74"/>
      <c r="F32" s="75"/>
      <c r="G32" s="15"/>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c r="BT32" s="69"/>
    </row>
    <row r="33" spans="2:72" x14ac:dyDescent="0.25">
      <c r="B33" s="9" t="s">
        <v>55</v>
      </c>
      <c r="C33" s="70" t="s">
        <v>56</v>
      </c>
      <c r="F33" s="65" t="s">
        <v>57</v>
      </c>
      <c r="G33" s="71" cm="1">
        <f t="array" aca="1" ref="G33" ca="1">[2]!HoadleySABROption($C33,$D$5,$D$6,G$20,$D$8,$D$9,$D$10,$D$11,$D$12,$D$13,$D$14)</f>
        <v>6.0240635152086774E-4</v>
      </c>
      <c r="H33" s="71" cm="1">
        <f t="array" aca="1" ref="H33" ca="1">[2]!HoadleySABROption($C33,$D$5,$D$6,H$20,$D$8,$D$9,$D$10,$D$11,$D$12,$D$13,$D$14)</f>
        <v>2.125988958770253E-3</v>
      </c>
      <c r="I33" s="71" cm="1">
        <f t="array" aca="1" ref="I33" ca="1">[2]!HoadleySABROption($C33,$D$5,$D$6,I$20,$D$8,$D$9,$D$10,$D$11,$D$12,$D$13,$D$14)</f>
        <v>4.1200124714051434E-3</v>
      </c>
      <c r="J33" s="71" cm="1">
        <f t="array" aca="1" ref="J33" ca="1">[2]!HoadleySABROption($C33,$D$5,$D$6,J$20,$D$8,$D$9,$D$10,$D$11,$D$12,$D$13,$D$14)</f>
        <v>5.0109972737467645E-3</v>
      </c>
      <c r="K33" s="71" cm="1">
        <f t="array" aca="1" ref="K33" ca="1">[2]!HoadleySABROption($C33,$D$5,$D$6,K$20,$D$8,$D$9,$D$10,$D$11,$D$12,$D$13,$D$14)</f>
        <v>4.6786067569881407E-3</v>
      </c>
      <c r="L33" s="71" cm="1">
        <f t="array" aca="1" ref="L33" ca="1">[2]!HoadleySABROption($C33,$D$5,$D$6,L$20,$D$8,$D$9,$D$10,$D$11,$D$12,$D$13,$D$14)</f>
        <v>3.9743556972842986E-3</v>
      </c>
      <c r="M33" s="71" cm="1">
        <f t="array" aca="1" ref="M33" ca="1">[2]!HoadleySABROption($C33,$D$5,$D$6,M$20,$D$8,$D$9,$D$10,$D$11,$D$12,$D$13,$D$14)</f>
        <v>3.3243520767647639E-3</v>
      </c>
      <c r="N33" s="71" cm="1">
        <f t="array" aca="1" ref="N33" ca="1">[2]!HoadleySABROption($C33,$D$5,$D$6,N$20,$D$8,$D$9,$D$10,$D$11,$D$12,$D$13,$D$14)</f>
        <v>2.8117704752436551E-3</v>
      </c>
      <c r="O33" s="71" cm="1">
        <f t="array" aca="1" ref="O33" ca="1">[2]!HoadleySABROption($C33,$D$5,$D$6,O$20,$D$8,$D$9,$D$10,$D$11,$D$12,$D$13,$D$14)</f>
        <v>2.4206231227628591E-3</v>
      </c>
      <c r="P33" s="71" cm="1">
        <f t="array" aca="1" ref="P33" ca="1">[2]!HoadleySABROption($C33,$D$5,$D$6,P$20,$D$8,$D$9,$D$10,$D$11,$D$12,$D$13,$D$14)</f>
        <v>2.1209535085571427E-3</v>
      </c>
      <c r="Q33" s="71" cm="1">
        <f t="array" aca="1" ref="Q33" ca="1">[2]!HoadleySABROption($C33,$D$5,$D$6,Q$20,$D$8,$D$9,$D$10,$D$11,$D$12,$D$13,$D$14)</f>
        <v>1.8878138455689641E-3</v>
      </c>
      <c r="R33" s="71" cm="1">
        <f t="array" aca="1" ref="R33" ca="1">[2]!HoadleySABROption($C33,$D$5,$D$6,R$20,$D$8,$D$9,$D$10,$D$11,$D$12,$D$13,$D$14)</f>
        <v>1.7031175543252286E-3</v>
      </c>
      <c r="S33" s="71" cm="1">
        <f t="array" aca="1" ref="S33" ca="1">[2]!HoadleySABROption($C33,$D$5,$D$6,S$20,$D$8,$D$9,$D$10,$D$11,$D$12,$D$13,$D$14)</f>
        <v>1.5541709294000575E-3</v>
      </c>
      <c r="T33" s="71" cm="1">
        <f t="array" aca="1" ref="T33" ca="1">[2]!HoadleySABROption($C33,$D$5,$D$6,T$20,$D$8,$D$9,$D$10,$D$11,$D$12,$D$13,$D$14)</f>
        <v>1.4320637065832684E-3</v>
      </c>
      <c r="U33" s="71" cm="1">
        <f t="array" aca="1" ref="U33" ca="1">[2]!HoadleySABROption($C33,$D$5,$D$6,U$20,$D$8,$D$9,$D$10,$D$11,$D$12,$D$13,$D$14)</f>
        <v>1.3304664530976382E-3</v>
      </c>
      <c r="V33" s="71" cm="1">
        <f t="array" aca="1" ref="V33" ca="1">[2]!HoadleySABROption($C33,$D$5,$D$6,V$20,$D$8,$D$9,$D$10,$D$11,$D$12,$D$13,$D$14)</f>
        <v>1.244810329934818E-3</v>
      </c>
      <c r="W33" s="71" cm="1">
        <f t="array" aca="1" ref="W33" ca="1">[2]!HoadleySABROption($C33,$D$5,$D$6,W$20,$D$8,$D$9,$D$10,$D$11,$D$12,$D$13,$D$14)</f>
        <v>1.1717406405768079E-3</v>
      </c>
      <c r="X33" s="71" cm="1">
        <f t="array" aca="1" ref="X33" ca="1">[2]!HoadleySABROption($C33,$D$5,$D$6,X$20,$D$8,$D$9,$D$10,$D$11,$D$12,$D$13,$D$14)</f>
        <v>1.1087526279001496E-3</v>
      </c>
      <c r="Y33" s="71" cm="1">
        <f t="array" aca="1" ref="Y33" ca="1">[2]!HoadleySABROption($C33,$D$5,$D$6,Y$20,$D$8,$D$9,$D$10,$D$11,$D$12,$D$13,$D$14)</f>
        <v>1.0539462728648072E-3</v>
      </c>
      <c r="Z33" s="71" cm="1">
        <f t="array" aca="1" ref="Z33" ca="1">[2]!HoadleySABROption($C33,$D$5,$D$6,Z$20,$D$8,$D$9,$D$10,$D$11,$D$12,$D$13,$D$14)</f>
        <v>1.0058588725191421E-3</v>
      </c>
      <c r="AA33" s="71" cm="1">
        <f t="array" aca="1" ref="AA33" ca="1">[2]!HoadleySABROption($C33,$D$5,$D$6,AA$20,$D$8,$D$9,$D$10,$D$11,$D$12,$D$13,$D$14)</f>
        <v>9.6334894342424773E-4</v>
      </c>
      <c r="AB33" s="71" cm="1">
        <f t="array" aca="1" ref="AB33" ca="1">[2]!HoadleySABROption($C33,$D$5,$D$6,AB$20,$D$8,$D$9,$D$10,$D$11,$D$12,$D$13,$D$14)</f>
        <v>9.2551444717822728E-4</v>
      </c>
      <c r="AC33" s="71" cm="1">
        <f t="array" aca="1" ref="AC33" ca="1">[2]!HoadleySABROption($C33,$D$5,$D$6,AC$20,$D$8,$D$9,$D$10,$D$11,$D$12,$D$13,$D$14)</f>
        <v>8.9163430815948283E-4</v>
      </c>
      <c r="AD33" s="71" cm="1">
        <f t="array" aca="1" ref="AD33" ca="1">[2]!HoadleySABROption($C33,$D$5,$D$6,AD$20,$D$8,$D$9,$D$10,$D$11,$D$12,$D$13,$D$14)</f>
        <v>8.6112597756582768E-4</v>
      </c>
      <c r="AE33" s="71" cm="1">
        <f t="array" aca="1" ref="AE33" ca="1">[2]!HoadleySABROption($C33,$D$5,$D$6,AE$20,$D$8,$D$9,$D$10,$D$11,$D$12,$D$13,$D$14)</f>
        <v>8.3351421627913917E-4</v>
      </c>
      <c r="AF33" s="71" cm="1">
        <f t="array" aca="1" ref="AF33" ca="1">[2]!HoadleySABROption($C33,$D$5,$D$6,AF$20,$D$8,$D$9,$D$10,$D$11,$D$12,$D$13,$D$14)</f>
        <v>8.0840783356180522E-4</v>
      </c>
      <c r="AG33" s="71" cm="1">
        <f t="array" aca="1" ref="AG33" ca="1">[2]!HoadleySABROption($C33,$D$5,$D$6,AG$20,$D$8,$D$9,$D$10,$D$11,$D$12,$D$13,$D$14)</f>
        <v>7.8548214435357998E-4</v>
      </c>
      <c r="AH33" s="71" cm="1">
        <f t="array" aca="1" ref="AH33" ca="1">[2]!HoadleySABROption($C33,$D$5,$D$6,AH$20,$D$8,$D$9,$D$10,$D$11,$D$12,$D$13,$D$14)</f>
        <v>7.6446558986598655E-4</v>
      </c>
      <c r="AI33" s="71" cm="1">
        <f t="array" aca="1" ref="AI33" ca="1">[2]!HoadleySABROption($C33,$D$5,$D$6,AI$20,$D$8,$D$9,$D$10,$D$11,$D$12,$D$13,$D$14)</f>
        <v>7.451294258283038E-4</v>
      </c>
      <c r="AJ33" s="71" cm="1">
        <f t="array" aca="1" ref="AJ33" ca="1">[2]!HoadleySABROption($C33,$D$5,$D$6,AJ$20,$D$8,$D$9,$D$10,$D$11,$D$12,$D$13,$D$14)</f>
        <v>7.2727969676614039E-4</v>
      </c>
      <c r="AK33" s="71" cm="1">
        <f t="array" aca="1" ref="AK33" ca="1">[2]!HoadleySABROption($C33,$D$5,$D$6,AK$20,$D$8,$D$9,$D$10,$D$11,$D$12,$D$13,$D$14)</f>
        <v>7.1075093202212399E-4</v>
      </c>
      <c r="AL33" s="71" cm="1">
        <f t="array" aca="1" ref="AL33" ca="1">[2]!HoadleySABROption($C33,$D$5,$D$6,AL$20,$D$8,$D$9,$D$10,$D$11,$D$12,$D$13,$D$14)</f>
        <v>6.9540115151268608E-4</v>
      </c>
      <c r="AM33" s="71" cm="1">
        <f t="array" aca="1" ref="AM33" ca="1">[2]!HoadleySABROption($C33,$D$5,$D$6,AM$20,$D$8,$D$9,$D$10,$D$11,$D$12,$D$13,$D$14)</f>
        <v>6.8110787718139547E-4</v>
      </c>
      <c r="AN33" s="71" cm="1">
        <f t="array" aca="1" ref="AN33" ca="1">[2]!HoadleySABROption($C33,$D$5,$D$6,AN$20,$D$8,$D$9,$D$10,$D$11,$D$12,$D$13,$D$14)</f>
        <v>6.6776492351985038E-4</v>
      </c>
      <c r="AO33" s="71" cm="1">
        <f t="array" aca="1" ref="AO33" ca="1">[2]!HoadleySABROption($C33,$D$5,$D$6,AO$20,$D$8,$D$9,$D$10,$D$11,$D$12,$D$13,$D$14)</f>
        <v>6.5527979662275554E-4</v>
      </c>
      <c r="AP33" s="71" cm="1">
        <f t="array" aca="1" ref="AP33" ca="1">[2]!HoadleySABROption($C33,$D$5,$D$6,AP$20,$D$8,$D$9,$D$10,$D$11,$D$12,$D$13,$D$14)</f>
        <v>6.4357157229461004E-4</v>
      </c>
      <c r="AQ33" s="71" cm="1">
        <f t="array" aca="1" ref="AQ33" ca="1">[2]!HoadleySABROption($C33,$D$5,$D$6,AQ$20,$D$8,$D$9,$D$10,$D$11,$D$12,$D$13,$D$14)</f>
        <v>6.3256915407073309E-4</v>
      </c>
      <c r="AR33" s="71" cm="1">
        <f t="array" aca="1" ref="AR33" ca="1">[2]!HoadleySABROption($C33,$D$5,$D$6,AR$20,$D$8,$D$9,$D$10,$D$11,$D$12,$D$13,$D$14)</f>
        <v>6.2220983462710037E-4</v>
      </c>
      <c r="AS33" s="71" cm="1">
        <f t="array" aca="1" ref="AS33" ca="1">[2]!HoadleySABROption($C33,$D$5,$D$6,AS$20,$D$8,$D$9,$D$10,$D$11,$D$12,$D$13,$D$14)</f>
        <v>6.1243810107017294E-4</v>
      </c>
      <c r="AT33" s="71" cm="1">
        <f t="array" aca="1" ref="AT33" ca="1">[2]!HoadleySABROption($C33,$D$5,$D$6,AT$20,$D$8,$D$9,$D$10,$D$11,$D$12,$D$13,$D$14)</f>
        <v>6.0320463749581957E-4</v>
      </c>
      <c r="AU33" s="71" cm="1">
        <f t="array" aca="1" ref="AU33" ca="1">[2]!HoadleySABROption($C33,$D$5,$D$6,AU$20,$D$8,$D$9,$D$10,$D$11,$D$12,$D$13,$D$14)</f>
        <v>5.9446548805308294E-4</v>
      </c>
      <c r="AV33" s="71" cm="1">
        <f t="array" aca="1" ref="AV33" ca="1">[2]!HoadleySABROption($C33,$D$5,$D$6,AV$20,$D$8,$D$9,$D$10,$D$11,$D$12,$D$13,$D$14)</f>
        <v>5.8618135133721265E-4</v>
      </c>
      <c r="AW33" s="71" cm="1">
        <f t="array" aca="1" ref="AW33" ca="1">[2]!HoadleySABROption($C33,$D$5,$D$6,AW$20,$D$8,$D$9,$D$10,$D$11,$D$12,$D$13,$D$14)</f>
        <v>5.783169828106529E-4</v>
      </c>
      <c r="AX33" s="71" cm="1">
        <f t="array" aca="1" ref="AX33" ca="1">[2]!HoadleySABROption($C33,$D$5,$D$6,AX$20,$D$8,$D$9,$D$10,$D$11,$D$12,$D$13,$D$14)</f>
        <v>5.7084068653423699E-4</v>
      </c>
      <c r="AY33" s="71" cm="1">
        <f t="array" aca="1" ref="AY33" ca="1">[2]!HoadleySABROption($C33,$D$5,$D$6,AY$20,$D$8,$D$9,$D$10,$D$11,$D$12,$D$13,$D$14)</f>
        <v>5.6372388109283619E-4</v>
      </c>
      <c r="AZ33" s="71" cm="1">
        <f t="array" aca="1" ref="AZ33" ca="1">[2]!HoadleySABROption($C33,$D$5,$D$6,AZ$20,$D$8,$D$9,$D$10,$D$11,$D$12,$D$13,$D$14)</f>
        <v>5.5694072743430606E-4</v>
      </c>
      <c r="BA33" s="71" cm="1">
        <f t="array" aca="1" ref="BA33" ca="1">[2]!HoadleySABROption($C33,$D$5,$D$6,BA$20,$D$8,$D$9,$D$10,$D$11,$D$12,$D$13,$D$14)</f>
        <v>5.5046780860989325E-4</v>
      </c>
      <c r="BB33" s="71" cm="1">
        <f t="array" aca="1" ref="BB33" ca="1">[2]!HoadleySABROption($C33,$D$5,$D$6,BB$20,$D$8,$D$9,$D$10,$D$11,$D$12,$D$13,$D$14)</f>
        <v>5.4428385319471063E-4</v>
      </c>
      <c r="BC33" s="71" cm="1">
        <f t="array" aca="1" ref="BC33" ca="1">[2]!HoadleySABROption($C33,$D$5,$D$6,BC$20,$D$8,$D$9,$D$10,$D$11,$D$12,$D$13,$D$14)</f>
        <v>5.3836949562244794E-4</v>
      </c>
      <c r="BD33" s="71" cm="1">
        <f t="array" aca="1" ref="BD33" ca="1">[2]!HoadleySABROption($C33,$D$5,$D$6,BD$20,$D$8,$D$9,$D$10,$D$11,$D$12,$D$13,$D$14)</f>
        <v>5.3270706783361231E-4</v>
      </c>
      <c r="BE33" s="71" cm="1">
        <f t="array" aca="1" ref="BE33" ca="1">[2]!HoadleySABROption($C33,$D$5,$D$6,BE$20,$D$8,$D$9,$D$10,$D$11,$D$12,$D$13,$D$14)</f>
        <v>5.2728041758452054E-4</v>
      </c>
      <c r="BF33" s="71" cm="1">
        <f t="array" aca="1" ref="BF33" ca="1">[2]!HoadleySABROption($C33,$D$5,$D$6,BF$20,$D$8,$D$9,$D$10,$D$11,$D$12,$D$13,$D$14)</f>
        <v>5.2207474953067622E-4</v>
      </c>
      <c r="BG33" s="71" cm="1">
        <f t="array" aca="1" ref="BG33" ca="1">[2]!HoadleySABROption($C33,$D$5,$D$6,BG$20,$D$8,$D$9,$D$10,$D$11,$D$12,$D$13,$D$14)</f>
        <v>5.1707648583882403E-4</v>
      </c>
      <c r="BH33" s="71" cm="1">
        <f t="array" aca="1" ref="BH33" ca="1">[2]!HoadleySABROption($C33,$D$5,$D$6,BH$20,$D$8,$D$9,$D$10,$D$11,$D$12,$D$13,$D$14)</f>
        <v>5.1227314358748624E-4</v>
      </c>
      <c r="BI33" s="71" cm="1">
        <f t="array" aca="1" ref="BI33" ca="1">[2]!HoadleySABROption($C33,$D$5,$D$6,BI$20,$D$8,$D$9,$D$10,$D$11,$D$12,$D$13,$D$14)</f>
        <v>5.0765322665532846E-4</v>
      </c>
      <c r="BJ33" s="71" cm="1">
        <f t="array" aca="1" ref="BJ33" ca="1">[2]!HoadleySABROption($C33,$D$5,$D$6,BJ$20,$D$8,$D$9,$D$10,$D$11,$D$12,$D$13,$D$14)</f>
        <v>5.0320613014118512E-4</v>
      </c>
      <c r="BK33" s="71" cm="1">
        <f t="array" aca="1" ref="BK33" ca="1">[2]!HoadleySABROption($C33,$D$5,$D$6,BK$20,$D$8,$D$9,$D$10,$D$11,$D$12,$D$13,$D$14)</f>
        <v>4.9892205565906997E-4</v>
      </c>
      <c r="BL33" s="71" cm="1">
        <f t="array" aca="1" ref="BL33" ca="1">[2]!HoadleySABROption($C33,$D$5,$D$6,BL$20,$D$8,$D$9,$D$10,$D$11,$D$12,$D$13,$D$14)</f>
        <v>4.9479193609569972E-4</v>
      </c>
      <c r="BM33" s="71" cm="1">
        <f t="array" aca="1" ref="BM33" ca="1">[2]!HoadleySABROption($C33,$D$5,$D$6,BM$20,$D$8,$D$9,$D$10,$D$11,$D$12,$D$13,$D$14)</f>
        <v>4.9080736862187457E-4</v>
      </c>
      <c r="BN33" s="71" cm="1">
        <f t="array" aca="1" ref="BN33" ca="1">[2]!HoadleySABROption($C33,$D$5,$D$6,BN$20,$D$8,$D$9,$D$10,$D$11,$D$12,$D$13,$D$14)</f>
        <v>4.8696055492382199E-4</v>
      </c>
      <c r="BO33" s="71" cm="1">
        <f t="array" aca="1" ref="BO33" ca="1">[2]!HoadleySABROption($C33,$D$5,$D$6,BO$20,$D$8,$D$9,$D$10,$D$11,$D$12,$D$13,$D$14)</f>
        <v>4.832442477641025E-4</v>
      </c>
      <c r="BP33" s="71" cm="1">
        <f t="array" aca="1" ref="BP33" ca="1">[2]!HoadleySABROption($C33,$D$5,$D$6,BP$20,$D$8,$D$9,$D$10,$D$11,$D$12,$D$13,$D$14)</f>
        <v>4.7965170310610653E-4</v>
      </c>
      <c r="BQ33" s="71" cm="1">
        <f t="array" aca="1" ref="BQ33" ca="1">[2]!HoadleySABROption($C33,$D$5,$D$6,BQ$20,$D$8,$D$9,$D$10,$D$11,$D$12,$D$13,$D$14)</f>
        <v>4.761766371375372E-4</v>
      </c>
      <c r="BR33" s="71" cm="1">
        <f t="array" aca="1" ref="BR33" ca="1">[2]!HoadleySABROption($C33,$D$5,$D$6,BR$20,$D$8,$D$9,$D$10,$D$11,$D$12,$D$13,$D$14)</f>
        <v>4.7281318762134195E-4</v>
      </c>
      <c r="BS33" s="71" cm="1">
        <f t="array" aca="1" ref="BS33" ca="1">[2]!HoadleySABROption($C33,$D$5,$D$6,BS$20,$D$8,$D$9,$D$10,$D$11,$D$12,$D$13,$D$14)</f>
        <v>4.6955587907265058E-4</v>
      </c>
      <c r="BT33" s="71" cm="1">
        <f t="array" aca="1" ref="BT33" ca="1">[2]!HoadleySABROption($C33,$D$5,$D$6,BT$20,$D$8,$D$9,$D$10,$D$11,$D$12,$D$13,$D$14)</f>
        <v>4.6639959133055846E-4</v>
      </c>
    </row>
    <row r="34" spans="2:72" x14ac:dyDescent="0.25">
      <c r="B34" s="15"/>
      <c r="C34" s="72" t="s">
        <v>56</v>
      </c>
      <c r="F34" s="65" t="s">
        <v>58</v>
      </c>
      <c r="G34" s="73" cm="1">
        <f t="array" aca="1" ref="G34" ca="1">[2]!HoadleyOptions2($C34,1,$D$5,G$20,$D$8,$D$9,G$22,$D$11,"c",$D$11)</f>
        <v>7.6197038848483311E-4</v>
      </c>
      <c r="H34" s="73" cm="1">
        <f t="array" aca="1" ref="H34" ca="1">[2]!HoadleyOptions2($C34,1,$D$5,H$20,$D$8,$D$9,H$22,$D$11,"c",$D$11)</f>
        <v>2.4057708247061946E-3</v>
      </c>
      <c r="I34" s="73" cm="1">
        <f t="array" aca="1" ref="I34" ca="1">[2]!HoadleyOptions2($C34,1,$D$5,I$20,$D$8,$D$9,I$22,$D$11,"c",$D$11)</f>
        <v>4.2478649266043207E-3</v>
      </c>
      <c r="J34" s="73" cm="1">
        <f t="array" aca="1" ref="J34" ca="1">[2]!HoadleyOptions2($C34,1,$D$5,J$20,$D$8,$D$9,J$22,$D$11,"c",$D$11)</f>
        <v>4.9752417278906098E-3</v>
      </c>
      <c r="K34" s="73" cm="1">
        <f t="array" aca="1" ref="K34" ca="1">[2]!HoadleyOptions2($C34,1,$D$5,K$20,$D$8,$D$9,K$22,$D$11,"c",$D$11)</f>
        <v>4.6587177662763138E-3</v>
      </c>
      <c r="L34" s="73" cm="1">
        <f t="array" aca="1" ref="L34" ca="1">[2]!HoadleyOptions2($C34,1,$D$5,L$20,$D$8,$D$9,L$22,$D$11,"c",$D$11)</f>
        <v>4.0133688155495791E-3</v>
      </c>
      <c r="M34" s="73" cm="1">
        <f t="array" aca="1" ref="M34" ca="1">[2]!HoadleyOptions2($C34,1,$D$5,M$20,$D$8,$D$9,M$22,$D$11,"c",$D$11)</f>
        <v>3.3982560017753161E-3</v>
      </c>
      <c r="N34" s="73" cm="1">
        <f t="array" aca="1" ref="N34" ca="1">[2]!HoadleyOptions2($C34,1,$D$5,N$20,$D$8,$D$9,N$22,$D$11,"c",$D$11)</f>
        <v>2.8969716921493165E-3</v>
      </c>
      <c r="O34" s="73" cm="1">
        <f t="array" aca="1" ref="O34" ca="1">[2]!HoadleyOptions2($C34,1,$D$5,O$20,$D$8,$D$9,O$22,$D$11,"c",$D$11)</f>
        <v>2.5040222922332327E-3</v>
      </c>
      <c r="P34" s="73" cm="1">
        <f t="array" aca="1" ref="P34" ca="1">[2]!HoadleyOptions2($C34,1,$D$5,P$20,$D$8,$D$9,P$22,$D$11,"c",$D$11)</f>
        <v>2.1966056090747489E-3</v>
      </c>
      <c r="Q34" s="73" cm="1">
        <f t="array" aca="1" ref="Q34" ca="1">[2]!HoadleyOptions2($C34,1,$D$5,Q$20,$D$8,$D$9,Q$22,$D$11,"c",$D$11)</f>
        <v>1.9535434548686456E-3</v>
      </c>
      <c r="R34" s="73" cm="1">
        <f t="array" aca="1" ref="R34" ca="1">[2]!HoadleyOptions2($C34,1,$D$5,R$20,$D$8,$D$9,R$22,$D$11,"c",$D$11)</f>
        <v>1.7585582060791524E-3</v>
      </c>
      <c r="S34" s="73" cm="1">
        <f t="array" aca="1" ref="S34" ca="1">[2]!HoadleyOptions2($C34,1,$D$5,S$20,$D$8,$D$9,S$22,$D$11,"c",$D$11)</f>
        <v>1.5997642384317657E-3</v>
      </c>
      <c r="T34" s="73" cm="1">
        <f t="array" aca="1" ref="T34" ca="1">[2]!HoadleyOptions2($C34,1,$D$5,T$20,$D$8,$D$9,T$22,$D$11,"c",$D$11)</f>
        <v>1.4685705963067514E-3</v>
      </c>
      <c r="U34" s="73" cm="1">
        <f t="array" aca="1" ref="U34" ca="1">[2]!HoadleyOptions2($C34,1,$D$5,U$20,$D$8,$D$9,U$22,$D$11,"c",$D$11)</f>
        <v>1.3587349376851412E-3</v>
      </c>
      <c r="V34" s="73" cm="1">
        <f t="array" aca="1" ref="V34" ca="1">[2]!HoadleyOptions2($C34,1,$D$5,V$20,$D$8,$D$9,V$22,$D$11,"c",$D$11)</f>
        <v>1.2656694637500692E-3</v>
      </c>
      <c r="W34" s="73" cm="1">
        <f t="array" aca="1" ref="W34" ca="1">[2]!HoadleyOptions2($C34,1,$D$5,W$20,$D$8,$D$9,W$22,$D$11,"c",$D$11)</f>
        <v>1.1859560453150722E-3</v>
      </c>
      <c r="X34" s="73" cm="1">
        <f t="array" aca="1" ref="X34" ca="1">[2]!HoadleyOptions2($C34,1,$D$5,X$20,$D$8,$D$9,X$22,$D$11,"c",$D$11)</f>
        <v>1.117011729636713E-3</v>
      </c>
      <c r="Y34" s="73" cm="1">
        <f t="array" aca="1" ref="Y34" ca="1">[2]!HoadleyOptions2($C34,1,$D$5,Y$20,$D$8,$D$9,Y$22,$D$11,"c",$D$11)</f>
        <v>1.0568574799255999E-3</v>
      </c>
      <c r="Z34" s="73" cm="1">
        <f t="array" aca="1" ref="Z34" ca="1">[2]!HoadleyOptions2($C34,1,$D$5,Z$20,$D$8,$D$9,Z$22,$D$11,"c",$D$11)</f>
        <v>1.0039568818870168E-3</v>
      </c>
      <c r="AA34" s="73" cm="1">
        <f t="array" aca="1" ref="AA34" ca="1">[2]!HoadleyOptions2($C34,1,$D$5,AA$20,$D$8,$D$9,AA$22,$D$11,"c",$D$11)</f>
        <v>9.571023310912545E-4</v>
      </c>
      <c r="AB34" s="73" cm="1">
        <f t="array" aca="1" ref="AB34" ca="1">[2]!HoadleyOptions2($C34,1,$D$5,AB$20,$D$8,$D$9,AB$22,$D$11,"c",$D$11)</f>
        <v>9.153336918791069E-4</v>
      </c>
      <c r="AC34" s="73" cm="1">
        <f t="array" aca="1" ref="AC34" ca="1">[2]!HoadleyOptions2($C34,1,$D$5,AC$20,$D$8,$D$9,AC$22,$D$11,"c",$D$11)</f>
        <v>8.7787940326926881E-4</v>
      </c>
      <c r="AD34" s="73" cm="1">
        <f t="array" aca="1" ref="AD34" ca="1">[2]!HoadleyOptions2($C34,1,$D$5,AD$20,$D$8,$D$9,AD$22,$D$11,"c",$D$11)</f>
        <v>8.4411329028413805E-4</v>
      </c>
      <c r="AE34" s="73" cm="1">
        <f t="array" aca="1" ref="AE34" ca="1">[2]!HoadleyOptions2($C34,1,$D$5,AE$20,$D$8,$D$9,AE$22,$D$11,"c",$D$11)</f>
        <v>8.1352250154249244E-4</v>
      </c>
      <c r="AF34" s="73" cm="1">
        <f t="array" aca="1" ref="AF34" ca="1">[2]!HoadleyOptions2($C34,1,$D$5,AF$20,$D$8,$D$9,AF$22,$D$11,"c",$D$11)</f>
        <v>7.8568342718699738E-4</v>
      </c>
      <c r="AG34" s="73" cm="1">
        <f t="array" aca="1" ref="AG34" ca="1">[2]!HoadleyOptions2($C34,1,$D$5,AG$20,$D$8,$D$9,AG$22,$D$11,"c",$D$11)</f>
        <v>7.602434099575955E-4</v>
      </c>
      <c r="AH34" s="73" cm="1">
        <f t="array" aca="1" ref="AH34" ca="1">[2]!HoadleyOptions2($C34,1,$D$5,AH$20,$D$8,$D$9,AH$22,$D$11,"c",$D$11)</f>
        <v>7.3690671049875635E-4</v>
      </c>
      <c r="AI34" s="73" cm="1">
        <f t="array" aca="1" ref="AI34" ca="1">[2]!HoadleyOptions2($C34,1,$D$5,AI$20,$D$8,$D$9,AI$22,$D$11,"c",$D$11)</f>
        <v>7.1542363135301259E-4</v>
      </c>
      <c r="AJ34" s="73" cm="1">
        <f t="array" aca="1" ref="AJ34" ca="1">[2]!HoadleyOptions2($C34,1,$D$5,AJ$20,$D$8,$D$9,AJ$22,$D$11,"c",$D$11)</f>
        <v>6.9558201083060782E-4</v>
      </c>
      <c r="AK34" s="73" cm="1">
        <f t="array" aca="1" ref="AK34" ca="1">[2]!HoadleyOptions2($C34,1,$D$5,AK$20,$D$8,$D$9,AK$22,$D$11,"c",$D$11)</f>
        <v>6.7720051258849626E-4</v>
      </c>
      <c r="AL34" s="73" cm="1">
        <f t="array" aca="1" ref="AL34" ca="1">[2]!HoadleyOptions2($C34,1,$D$5,AL$20,$D$8,$D$9,AL$22,$D$11,"c",$D$11)</f>
        <v>6.6012328862622848E-4</v>
      </c>
      <c r="AM34" s="73" cm="1">
        <f t="array" aca="1" ref="AM34" ca="1">[2]!HoadleyOptions2($C34,1,$D$5,AM$20,$D$8,$D$9,AM$22,$D$11,"c",$D$11)</f>
        <v>6.4421570202358007E-4</v>
      </c>
      <c r="AN34" s="73" cm="1">
        <f t="array" aca="1" ref="AN34" ca="1">[2]!HoadleyOptions2($C34,1,$D$5,AN$20,$D$8,$D$9,AN$22,$D$11,"c",$D$11)</f>
        <v>6.2936087422752027E-4</v>
      </c>
      <c r="AO34" s="73" cm="1">
        <f t="array" aca="1" ref="AO34" ca="1">[2]!HoadleyOptions2($C34,1,$D$5,AO$20,$D$8,$D$9,AO$22,$D$11,"c",$D$11)</f>
        <v>6.1545687896427865E-4</v>
      </c>
      <c r="AP34" s="73" cm="1">
        <f t="array" aca="1" ref="AP34" ca="1">[2]!HoadleyOptions2($C34,1,$D$5,AP$20,$D$8,$D$9,AP$22,$D$11,"c",$D$11)</f>
        <v>6.0241444703399978E-4</v>
      </c>
      <c r="AQ34" s="73" cm="1">
        <f t="array" aca="1" ref="AQ34" ca="1">[2]!HoadleyOptions2($C34,1,$D$5,AQ$20,$D$8,$D$9,AQ$22,$D$11,"c",$D$11)</f>
        <v>5.9015507759342006E-4</v>
      </c>
      <c r="AR34" s="73" cm="1">
        <f t="array" aca="1" ref="AR34" ca="1">[2]!HoadleyOptions2($C34,1,$D$5,AR$20,$D$8,$D$9,AR$22,$D$11,"c",$D$11)</f>
        <v>5.7860947502773655E-4</v>
      </c>
      <c r="AS34" s="73" cm="1">
        <f t="array" aca="1" ref="AS34" ca="1">[2]!HoadleyOptions2($C34,1,$D$5,AS$20,$D$8,$D$9,AS$22,$D$11,"c",$D$11)</f>
        <v>5.6771624826620275E-4</v>
      </c>
      <c r="AT34" s="73" cm="1">
        <f t="array" aca="1" ref="AT34" ca="1">[2]!HoadleyOptions2($C34,1,$D$5,AT$20,$D$8,$D$9,AT$22,$D$11,"c",$D$11)</f>
        <v>5.574208229142555E-4</v>
      </c>
      <c r="AU34" s="73" cm="1">
        <f t="array" aca="1" ref="AU34" ca="1">[2]!HoadleyOptions2($C34,1,$D$5,AU$20,$D$8,$D$9,AU$22,$D$11,"c",$D$11)</f>
        <v>5.4767452694417444E-4</v>
      </c>
      <c r="AV34" s="73" cm="1">
        <f t="array" aca="1" ref="AV34" ca="1">[2]!HoadleyOptions2($C34,1,$D$5,AV$20,$D$8,$D$9,AV$22,$D$11,"c",$D$11)</f>
        <v>5.3843381869568335E-4</v>
      </c>
      <c r="AW34" s="73" cm="1">
        <f t="array" aca="1" ref="AW34" ca="1">[2]!HoadleyOptions2($C34,1,$D$5,AW$20,$D$8,$D$9,AW$22,$D$11,"c",$D$11)</f>
        <v>5.2965963216607766E-4</v>
      </c>
      <c r="AX34" s="73" cm="1">
        <f t="array" aca="1" ref="AX34" ca="1">[2]!HoadleyOptions2($C34,1,$D$5,AX$20,$D$8,$D$9,AX$22,$D$11,"c",$D$11)</f>
        <v>5.2131681944315609E-4</v>
      </c>
      <c r="AY34" s="73" cm="1">
        <f t="array" aca="1" ref="AY34" ca="1">[2]!HoadleyOptions2($C34,1,$D$5,AY$20,$D$8,$D$9,AY$22,$D$11,"c",$D$11)</f>
        <v>5.1337367397155144E-4</v>
      </c>
      <c r="AZ34" s="73" cm="1">
        <f t="array" aca="1" ref="AZ34" ca="1">[2]!HoadleyOptions2($C34,1,$D$5,AZ$20,$D$8,$D$9,AZ$22,$D$11,"c",$D$11)</f>
        <v>5.0580152138145261E-4</v>
      </c>
      <c r="BA34" s="73" cm="1">
        <f t="array" aca="1" ref="BA34" ca="1">[2]!HoadleyOptions2($C34,1,$D$5,BA$20,$D$8,$D$9,BA$22,$D$11,"c",$D$11)</f>
        <v>4.9857436702829404E-4</v>
      </c>
      <c r="BB34" s="73" cm="1">
        <f t="array" aca="1" ref="BB34" ca="1">[2]!HoadleyOptions2($C34,1,$D$5,BB$20,$D$8,$D$9,BB$22,$D$11,"c",$D$11)</f>
        <v>4.916685913289615E-4</v>
      </c>
      <c r="BC34" s="73" cm="1">
        <f t="array" aca="1" ref="BC34" ca="1">[2]!HoadleyOptions2($C34,1,$D$5,BC$20,$D$8,$D$9,BC$22,$D$11,"c",$D$11)</f>
        <v>4.850626855380562E-4</v>
      </c>
      <c r="BD34" s="73" cm="1">
        <f t="array" aca="1" ref="BD34" ca="1">[2]!HoadleyOptions2($C34,1,$D$5,BD$20,$D$8,$D$9,BD$22,$D$11,"c",$D$11)</f>
        <v>4.7873702186792654E-4</v>
      </c>
      <c r="BE34" s="73" cm="1">
        <f t="array" aca="1" ref="BE34" ca="1">[2]!HoadleyOptions2($C34,1,$D$5,BE$20,$D$8,$D$9,BE$22,$D$11,"c",$D$11)</f>
        <v>4.7267365287920497E-4</v>
      </c>
      <c r="BF34" s="73" cm="1">
        <f t="array" aca="1" ref="BF34" ca="1">[2]!HoadleyOptions2($C34,1,$D$5,BF$20,$D$8,$D$9,BF$22,$D$11,"c",$D$11)</f>
        <v>4.6685613590372093E-4</v>
      </c>
      <c r="BG34" s="73" cm="1">
        <f t="array" aca="1" ref="BG34" ca="1">[2]!HoadleyOptions2($C34,1,$D$5,BG$20,$D$8,$D$9,BG$22,$D$11,"c",$D$11)</f>
        <v>4.6126937894550675E-4</v>
      </c>
      <c r="BH34" s="73" cm="1">
        <f t="array" aca="1" ref="BH34" ca="1">[2]!HoadleyOptions2($C34,1,$D$5,BH$20,$D$8,$D$9,BH$22,$D$11,"c",$D$11)</f>
        <v>4.5589950506868003E-4</v>
      </c>
      <c r="BI34" s="73" cm="1">
        <f t="array" aca="1" ref="BI34" ca="1">[2]!HoadleyOptions2($C34,1,$D$5,BI$20,$D$8,$D$9,BI$22,$D$11,"c",$D$11)</f>
        <v>4.5073373274566431E-4</v>
      </c>
      <c r="BJ34" s="73" cm="1">
        <f t="array" aca="1" ref="BJ34" ca="1">[2]!HoadleyOptions2($C34,1,$D$5,BJ$20,$D$8,$D$9,BJ$22,$D$11,"c",$D$11)</f>
        <v>4.457602700249441E-4</v>
      </c>
      <c r="BK34" s="73" cm="1">
        <f t="array" aca="1" ref="BK34" ca="1">[2]!HoadleyOptions2($C34,1,$D$5,BK$20,$D$8,$D$9,BK$22,$D$11,"c",$D$11)</f>
        <v>4.4096822069809437E-4</v>
      </c>
      <c r="BL34" s="73" cm="1">
        <f t="array" aca="1" ref="BL34" ca="1">[2]!HoadleyOptions2($C34,1,$D$5,BL$20,$D$8,$D$9,BL$22,$D$11,"c",$D$11)</f>
        <v>4.3634750091393741E-4</v>
      </c>
      <c r="BM34" s="73" cm="1">
        <f t="array" aca="1" ref="BM34" ca="1">[2]!HoadleyOptions2($C34,1,$D$5,BM$20,$D$8,$D$9,BM$22,$D$11,"c",$D$11)</f>
        <v>4.3188876491210204E-4</v>
      </c>
      <c r="BN34" s="73" cm="1">
        <f t="array" aca="1" ref="BN34" ca="1">[2]!HoadleyOptions2($C34,1,$D$5,BN$20,$D$8,$D$9,BN$22,$D$11,"c",$D$11)</f>
        <v>4.2758333873695324E-4</v>
      </c>
      <c r="BO34" s="73" cm="1">
        <f t="array" aca="1" ref="BO34" ca="1">[2]!HoadleyOptions2($C34,1,$D$5,BO$20,$D$8,$D$9,BO$22,$D$11,"c",$D$11)</f>
        <v>4.2342316095222884E-4</v>
      </c>
      <c r="BP34" s="73" cm="1">
        <f t="array" aca="1" ref="BP34" ca="1">[2]!HoadleyOptions2($C34,1,$D$5,BP$20,$D$8,$D$9,BP$22,$D$11,"c",$D$11)</f>
        <v>4.1940072951112198E-4</v>
      </c>
      <c r="BQ34" s="73" cm="1">
        <f t="array" aca="1" ref="BQ34" ca="1">[2]!HoadleyOptions2($C34,1,$D$5,BQ$20,$D$8,$D$9,BQ$22,$D$11,"c",$D$11)</f>
        <v>4.1550905405108749E-4</v>
      </c>
      <c r="BR34" s="73" cm="1">
        <f t="array" aca="1" ref="BR34" ca="1">[2]!HoadleyOptions2($C34,1,$D$5,BR$20,$D$8,$D$9,BR$22,$D$11,"c",$D$11)</f>
        <v>4.1174161297967345E-4</v>
      </c>
      <c r="BS34" s="73" cm="1">
        <f t="array" aca="1" ref="BS34" ca="1">[2]!HoadleyOptions2($C34,1,$D$5,BS$20,$D$8,$D$9,BS$22,$D$11,"c",$D$11)</f>
        <v>4.0809231480070149E-4</v>
      </c>
      <c r="BT34" s="73" cm="1">
        <f t="array" aca="1" ref="BT34" ca="1">[2]!HoadleyOptions2($C34,1,$D$5,BT$20,$D$8,$D$9,BT$22,$D$11,"c",$D$11)</f>
        <v>4.0455546320114185E-4</v>
      </c>
    </row>
    <row r="35" spans="2:72" x14ac:dyDescent="0.25">
      <c r="B35" s="15"/>
      <c r="C35" s="74"/>
      <c r="F35" s="75"/>
      <c r="G35" s="15"/>
      <c r="Q35" s="69"/>
      <c r="R35" s="69"/>
      <c r="S35" s="69"/>
      <c r="T35" s="69"/>
      <c r="U35" s="69"/>
      <c r="V35" s="69"/>
      <c r="W35" s="69"/>
      <c r="X35" s="69"/>
      <c r="Y35" s="69"/>
      <c r="Z35" s="69"/>
      <c r="AA35" s="69"/>
      <c r="AB35" s="69"/>
      <c r="AC35" s="69"/>
      <c r="AD35" s="69"/>
      <c r="AE35" s="69"/>
      <c r="AF35" s="69"/>
      <c r="AG35" s="69"/>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c r="BT35" s="69"/>
    </row>
    <row r="36" spans="2:72" x14ac:dyDescent="0.25">
      <c r="B36" s="9" t="s">
        <v>59</v>
      </c>
      <c r="C36" s="70" t="s">
        <v>60</v>
      </c>
      <c r="F36" s="65" t="s">
        <v>61</v>
      </c>
      <c r="G36" s="71" cm="1">
        <f t="array" aca="1" ref="G36" ca="1">[2]!HoadleySABROption($C36,$D$5,$D$6,G$20,$D$8,$D$9,$D$10,$D$11,$D$12,$D$13,$D$14)</f>
        <v>-2.6851697968570676E-3</v>
      </c>
      <c r="H36" s="71" cm="1">
        <f t="array" aca="1" ref="H36" ca="1">[2]!HoadleySABROption($C36,$D$5,$D$6,H$20,$D$8,$D$9,$D$10,$D$11,$D$12,$D$13,$D$14)</f>
        <v>-7.5918169972701843E-3</v>
      </c>
      <c r="I36" s="71" cm="1">
        <f t="array" aca="1" ref="I36" ca="1">[2]!HoadleySABROption($C36,$D$5,$D$6,I$20,$D$8,$D$9,$D$10,$D$11,$D$12,$D$13,$D$14)</f>
        <v>-1.271011883064932E-2</v>
      </c>
      <c r="J36" s="71" cm="1">
        <f t="array" aca="1" ref="J36" ca="1">[2]!HoadleySABROption($C36,$D$5,$D$6,J$20,$D$8,$D$9,$D$10,$D$11,$D$12,$D$13,$D$14)</f>
        <v>-1.4954278769233165E-2</v>
      </c>
      <c r="K36" s="71" cm="1">
        <f t="array" aca="1" ref="K36" ca="1">[2]!HoadleySABROption($C36,$D$5,$D$6,K$20,$D$8,$D$9,$D$10,$D$11,$D$12,$D$13,$D$14)</f>
        <v>-1.4566752791208559E-2</v>
      </c>
      <c r="L36" s="71" cm="1">
        <f t="array" aca="1" ref="L36" ca="1">[2]!HoadleySABROption($C36,$D$5,$D$6,L$20,$D$8,$D$9,$D$10,$D$11,$D$12,$D$13,$D$14)</f>
        <v>-1.3199251102754161E-2</v>
      </c>
      <c r="M36" s="71" cm="1">
        <f t="array" aca="1" ref="M36" ca="1">[2]!HoadleySABROption($C36,$D$5,$D$6,M$20,$D$8,$D$9,$D$10,$D$11,$D$12,$D$13,$D$14)</f>
        <v>-1.1750517471102201E-2</v>
      </c>
      <c r="N36" s="71" cm="1">
        <f t="array" aca="1" ref="N36" ca="1">[2]!HoadleySABROption($C36,$D$5,$D$6,N$20,$D$8,$D$9,$D$10,$D$11,$D$12,$D$13,$D$14)</f>
        <v>-1.0489058948235375E-2</v>
      </c>
      <c r="O36" s="71" cm="1">
        <f t="array" aca="1" ref="O36" ca="1">[2]!HoadleySABROption($C36,$D$5,$D$6,O$20,$D$8,$D$9,$D$10,$D$11,$D$12,$D$13,$D$14)</f>
        <v>-9.4487411279714217E-3</v>
      </c>
      <c r="P36" s="71" cm="1">
        <f t="array" aca="1" ref="P36" ca="1">[2]!HoadleySABROption($C36,$D$5,$D$6,P$20,$D$8,$D$9,$D$10,$D$11,$D$12,$D$13,$D$14)</f>
        <v>-8.6004187942132632E-3</v>
      </c>
      <c r="Q36" s="71" cm="1">
        <f t="array" aca="1" ref="Q36" ca="1">[2]!HoadleySABROption($C36,$D$5,$D$6,Q$20,$D$8,$D$9,$D$10,$D$11,$D$12,$D$13,$D$14)</f>
        <v>-7.9058537564736103E-3</v>
      </c>
      <c r="R36" s="71" cm="1">
        <f t="array" aca="1" ref="R36" ca="1">[2]!HoadleySABROption($C36,$D$5,$D$6,R$20,$D$8,$D$9,$D$10,$D$11,$D$12,$D$13,$D$14)</f>
        <v>-7.3317184661531171E-3</v>
      </c>
      <c r="S36" s="71" cm="1">
        <f t="array" aca="1" ref="S36" ca="1">[2]!HoadleySABROption($C36,$D$5,$D$6,S$20,$D$8,$D$9,$D$10,$D$11,$D$12,$D$13,$D$14)</f>
        <v>-6.8517855449422432E-3</v>
      </c>
      <c r="T36" s="71" cm="1">
        <f t="array" aca="1" ref="T36" ca="1">[2]!HoadleySABROption($C36,$D$5,$D$6,T$20,$D$8,$D$9,$D$10,$D$11,$D$12,$D$13,$D$14)</f>
        <v>-6.446053777616749E-3</v>
      </c>
      <c r="U36" s="71" cm="1">
        <f t="array" aca="1" ref="U36" ca="1">[2]!HoadleySABROption($C36,$D$5,$D$6,U$20,$D$8,$D$9,$D$10,$D$11,$D$12,$D$13,$D$14)</f>
        <v>-6.0993662477663024E-3</v>
      </c>
      <c r="V36" s="71" cm="1">
        <f t="array" aca="1" ref="V36" ca="1">[2]!HoadleySABROption($C36,$D$5,$D$6,V$20,$D$8,$D$9,$D$10,$D$11,$D$12,$D$13,$D$14)</f>
        <v>-5.8001903432874508E-3</v>
      </c>
      <c r="W36" s="71" cm="1">
        <f t="array" aca="1" ref="W36" ca="1">[2]!HoadleySABROption($C36,$D$5,$D$6,W$20,$D$8,$D$9,$D$10,$D$11,$D$12,$D$13,$D$14)</f>
        <v>-5.5396758990349654E-3</v>
      </c>
      <c r="X36" s="71" cm="1">
        <f t="array" aca="1" ref="X36" ca="1">[2]!HoadleySABROption($C36,$D$5,$D$6,X$20,$D$8,$D$9,$D$10,$D$11,$D$12,$D$13,$D$14)</f>
        <v>-5.3109605924435421E-3</v>
      </c>
      <c r="Y36" s="71" cm="1">
        <f t="array" aca="1" ref="Y36" ca="1">[2]!HoadleySABROption($C36,$D$5,$D$6,Y$20,$D$8,$D$9,$D$10,$D$11,$D$12,$D$13,$D$14)</f>
        <v>-5.1086651755555199E-3</v>
      </c>
      <c r="Z36" s="71" cm="1">
        <f t="array" aca="1" ref="Z36" ca="1">[2]!HoadleySABROption($C36,$D$5,$D$6,Z$20,$D$8,$D$9,$D$10,$D$11,$D$12,$D$13,$D$14)</f>
        <v>-4.9285271547202386E-3</v>
      </c>
      <c r="AA36" s="71" cm="1">
        <f t="array" aca="1" ref="AA36" ca="1">[2]!HoadleySABROption($C36,$D$5,$D$6,AA$20,$D$8,$D$9,$D$10,$D$11,$D$12,$D$13,$D$14)</f>
        <v>-4.7671336182095042E-3</v>
      </c>
      <c r="AB36" s="71" cm="1">
        <f t="array" aca="1" ref="AB36" ca="1">[2]!HoadleySABROption($C36,$D$5,$D$6,AB$20,$D$8,$D$9,$D$10,$D$11,$D$12,$D$13,$D$14)</f>
        <v>-4.6217248038177734E-3</v>
      </c>
      <c r="AC36" s="71" cm="1">
        <f t="array" aca="1" ref="AC36" ca="1">[2]!HoadleySABROption($C36,$D$5,$D$6,AC$20,$D$8,$D$9,$D$10,$D$11,$D$12,$D$13,$D$14)</f>
        <v>-4.4900483042986244E-3</v>
      </c>
      <c r="AD36" s="71" cm="1">
        <f t="array" aca="1" ref="AD36" ca="1">[2]!HoadleySABROption($C36,$D$5,$D$6,AD$20,$D$8,$D$9,$D$10,$D$11,$D$12,$D$13,$D$14)</f>
        <v>-4.3702497693062607E-3</v>
      </c>
      <c r="AE36" s="71" cm="1">
        <f t="array" aca="1" ref="AE36" ca="1">[2]!HoadleySABROption($C36,$D$5,$D$6,AE$20,$D$8,$D$9,$D$10,$D$11,$D$12,$D$13,$D$14)</f>
        <v>-4.2607901387435206E-3</v>
      </c>
      <c r="AF36" s="71" cm="1">
        <f t="array" aca="1" ref="AF36" ca="1">[2]!HoadleySABROption($C36,$D$5,$D$6,AF$20,$D$8,$D$9,$D$10,$D$11,$D$12,$D$13,$D$14)</f>
        <v>-4.1603823455255116E-3</v>
      </c>
      <c r="AG36" s="71" cm="1">
        <f t="array" aca="1" ref="AG36" ca="1">[2]!HoadleySABROption($C36,$D$5,$D$6,AG$20,$D$8,$D$9,$D$10,$D$11,$D$12,$D$13,$D$14)</f>
        <v>-4.067942444299897E-3</v>
      </c>
      <c r="AH36" s="71" cm="1">
        <f t="array" aca="1" ref="AH36" ca="1">[2]!HoadleySABROption($C36,$D$5,$D$6,AH$20,$D$8,$D$9,$D$10,$D$11,$D$12,$D$13,$D$14)</f>
        <v>-3.9825515325540642E-3</v>
      </c>
      <c r="AI36" s="71" cm="1">
        <f t="array" aca="1" ref="AI36" ca="1">[2]!HoadleySABROption($C36,$D$5,$D$6,AI$20,$D$8,$D$9,$D$10,$D$11,$D$12,$D$13,$D$14)</f>
        <v>-3.9034258220949046E-3</v>
      </c>
      <c r="AJ36" s="71" cm="1">
        <f t="array" aca="1" ref="AJ36" ca="1">[2]!HoadleySABROption($C36,$D$5,$D$6,AJ$20,$D$8,$D$9,$D$10,$D$11,$D$12,$D$13,$D$14)</f>
        <v>-3.8298929218876301E-3</v>
      </c>
      <c r="AK36" s="71" cm="1">
        <f t="array" aca="1" ref="AK36" ca="1">[2]!HoadleySABROption($C36,$D$5,$D$6,AK$20,$D$8,$D$9,$D$10,$D$11,$D$12,$D$13,$D$14)</f>
        <v>-3.7613728960428326E-3</v>
      </c>
      <c r="AL36" s="71" cm="1">
        <f t="array" aca="1" ref="AL36" ca="1">[2]!HoadleySABROption($C36,$D$5,$D$6,AL$20,$D$8,$D$9,$D$10,$D$11,$D$12,$D$13,$D$14)</f>
        <v>-3.6973630235603225E-3</v>
      </c>
      <c r="AM36" s="71" cm="1">
        <f t="array" aca="1" ref="AM36" ca="1">[2]!HoadleySABROption($C36,$D$5,$D$6,AM$20,$D$8,$D$9,$D$10,$D$11,$D$12,$D$13,$D$14)</f>
        <v>-3.6374254506142123E-3</v>
      </c>
      <c r="AN36" s="71" cm="1">
        <f t="array" aca="1" ref="AN36" ca="1">[2]!HoadleySABROption($C36,$D$5,$D$6,AN$20,$D$8,$D$9,$D$10,$D$11,$D$12,$D$13,$D$14)</f>
        <v>-3.5811771202176879E-3</v>
      </c>
      <c r="AO36" s="71" cm="1">
        <f t="array" aca="1" ref="AO36" ca="1">[2]!HoadleySABROption($C36,$D$5,$D$6,AO$20,$D$8,$D$9,$D$10,$D$11,$D$12,$D$13,$D$14)</f>
        <v>-3.528281507842887E-3</v>
      </c>
      <c r="AP36" s="71" cm="1">
        <f t="array" aca="1" ref="AP36" ca="1">[2]!HoadleySABROption($C36,$D$5,$D$6,AP$20,$D$8,$D$9,$D$10,$D$11,$D$12,$D$13,$D$14)</f>
        <v>-3.4784417989819731E-3</v>
      </c>
      <c r="AQ36" s="71" cm="1">
        <f t="array" aca="1" ref="AQ36" ca="1">[2]!HoadleySABROption($C36,$D$5,$D$6,AQ$20,$D$8,$D$9,$D$10,$D$11,$D$12,$D$13,$D$14)</f>
        <v>-3.4313952254809744E-3</v>
      </c>
      <c r="AR36" s="71" cm="1">
        <f t="array" aca="1" ref="AR36" ca="1">[2]!HoadleySABROption($C36,$D$5,$D$6,AR$20,$D$8,$D$9,$D$10,$D$11,$D$12,$D$13,$D$14)</f>
        <v>-3.3869083388531479E-3</v>
      </c>
      <c r="AS36" s="71" cm="1">
        <f t="array" aca="1" ref="AS36" ca="1">[2]!HoadleySABROption($C36,$D$5,$D$6,AS$20,$D$8,$D$9,$D$10,$D$11,$D$12,$D$13,$D$14)</f>
        <v>-3.3447730456703587E-3</v>
      </c>
      <c r="AT36" s="71" cm="1">
        <f t="array" aca="1" ref="AT36" ca="1">[2]!HoadleySABROption($C36,$D$5,$D$6,AT$20,$D$8,$D$9,$D$10,$D$11,$D$12,$D$13,$D$14)</f>
        <v>-3.3048032662505999E-3</v>
      </c>
      <c r="AU36" s="71" cm="1">
        <f t="array" aca="1" ref="AU36" ca="1">[2]!HoadleySABROption($C36,$D$5,$D$6,AU$20,$D$8,$D$9,$D$10,$D$11,$D$12,$D$13,$D$14)</f>
        <v>-3.2668321058375478E-3</v>
      </c>
      <c r="AV36" s="71" cm="1">
        <f t="array" aca="1" ref="AV36" ca="1">[2]!HoadleySABROption($C36,$D$5,$D$6,AV$20,$D$8,$D$9,$D$10,$D$11,$D$12,$D$13,$D$14)</f>
        <v>-3.2307094493070586E-3</v>
      </c>
      <c r="AW36" s="71" cm="1">
        <f t="array" aca="1" ref="AW36" ca="1">[2]!HoadleySABROption($C36,$D$5,$D$6,AW$20,$D$8,$D$9,$D$10,$D$11,$D$12,$D$13,$D$14)</f>
        <v>-3.1962999075575531E-3</v>
      </c>
      <c r="AX36" s="71" cm="1">
        <f t="array" aca="1" ref="AX36" ca="1">[2]!HoadleySABROption($C36,$D$5,$D$6,AX$20,$D$8,$D$9,$D$10,$D$11,$D$12,$D$13,$D$14)</f>
        <v>-3.1634810572808043E-3</v>
      </c>
      <c r="AY36" s="71" cm="1">
        <f t="array" aca="1" ref="AY36" ca="1">[2]!HoadleySABROption($C36,$D$5,$D$6,AY$20,$D$8,$D$9,$D$10,$D$11,$D$12,$D$13,$D$14)</f>
        <v>-3.1321419265502755E-3</v>
      </c>
      <c r="AZ36" s="71" cm="1">
        <f t="array" aca="1" ref="AZ36" ca="1">[2]!HoadleySABROption($C36,$D$5,$D$6,AZ$20,$D$8,$D$9,$D$10,$D$11,$D$12,$D$13,$D$14)</f>
        <v>-3.1021816872374691E-3</v>
      </c>
      <c r="BA36" s="71" cm="1">
        <f t="array" aca="1" ref="BA36" ca="1">[2]!HoadleySABROption($C36,$D$5,$D$6,BA$20,$D$8,$D$9,$D$10,$D$11,$D$12,$D$13,$D$14)</f>
        <v>-3.0735085221431334E-3</v>
      </c>
      <c r="BB36" s="71" cm="1">
        <f t="array" aca="1" ref="BB36" ca="1">[2]!HoadleySABROption($C36,$D$5,$D$6,BB$20,$D$8,$D$9,$D$10,$D$11,$D$12,$D$13,$D$14)</f>
        <v>-3.0460386403019461E-3</v>
      </c>
      <c r="BC36" s="71" cm="1">
        <f t="array" aca="1" ref="BC36" ca="1">[2]!HoadleySABROption($C36,$D$5,$D$6,BC$20,$D$8,$D$9,$D$10,$D$11,$D$12,$D$13,$D$14)</f>
        <v>-3.0196954183908838E-3</v>
      </c>
      <c r="BD36" s="71" cm="1">
        <f t="array" aca="1" ref="BD36" ca="1">[2]!HoadleySABROption($C36,$D$5,$D$6,BD$20,$D$8,$D$9,$D$10,$D$11,$D$12,$D$13,$D$14)</f>
        <v>-2.9944086498521691E-3</v>
      </c>
      <c r="BE36" s="71" cm="1">
        <f t="array" aca="1" ref="BE36" ca="1">[2]!HoadleySABROption($C36,$D$5,$D$6,BE$20,$D$8,$D$9,$D$10,$D$11,$D$12,$D$13,$D$14)</f>
        <v>-2.9701138863263404E-3</v>
      </c>
      <c r="BF36" s="71" cm="1">
        <f t="array" aca="1" ref="BF36" ca="1">[2]!HoadleySABROption($C36,$D$5,$D$6,BF$20,$D$8,$D$9,$D$10,$D$11,$D$12,$D$13,$D$14)</f>
        <v>-2.946751858461133E-3</v>
      </c>
      <c r="BG36" s="71" cm="1">
        <f t="array" aca="1" ref="BG36" ca="1">[2]!HoadleySABROption($C36,$D$5,$D$6,BG$20,$D$8,$D$9,$D$10,$D$11,$D$12,$D$13,$D$14)</f>
        <v>-2.9242679651669667E-3</v>
      </c>
      <c r="BH36" s="71" cm="1">
        <f t="array" aca="1" ref="BH36" ca="1">[2]!HoadleySABROption($C36,$D$5,$D$6,BH$20,$D$8,$D$9,$D$10,$D$11,$D$12,$D$13,$D$14)</f>
        <v>-2.9026118220991035E-3</v>
      </c>
      <c r="BI36" s="71" cm="1">
        <f t="array" aca="1" ref="BI36" ca="1">[2]!HoadleySABROption($C36,$D$5,$D$6,BI$20,$D$8,$D$9,$D$10,$D$11,$D$12,$D$13,$D$14)</f>
        <v>-2.8817368615054011E-3</v>
      </c>
      <c r="BJ36" s="71" cm="1">
        <f t="array" aca="1" ref="BJ36" ca="1">[2]!HoadleySABROption($C36,$D$5,$D$6,BJ$20,$D$8,$D$9,$D$10,$D$11,$D$12,$D$13,$D$14)</f>
        <v>-2.8615999767760639E-3</v>
      </c>
      <c r="BK36" s="71" cm="1">
        <f t="array" aca="1" ref="BK36" ca="1">[2]!HoadleySABROption($C36,$D$5,$D$6,BK$20,$D$8,$D$9,$D$10,$D$11,$D$12,$D$13,$D$14)</f>
        <v>-2.8421612059736732E-3</v>
      </c>
      <c r="BL36" s="71" cm="1">
        <f t="array" aca="1" ref="BL36" ca="1">[2]!HoadleySABROption($C36,$D$5,$D$6,BL$20,$D$8,$D$9,$D$10,$D$11,$D$12,$D$13,$D$14)</f>
        <v>-2.8233834494575151E-3</v>
      </c>
      <c r="BM36" s="71" cm="1">
        <f t="array" aca="1" ref="BM36" ca="1">[2]!HoadleySABROption($C36,$D$5,$D$6,BM$20,$D$8,$D$9,$D$10,$D$11,$D$12,$D$13,$D$14)</f>
        <v>-2.8052322174002345E-3</v>
      </c>
      <c r="BN36" s="71" cm="1">
        <f t="array" aca="1" ref="BN36" ca="1">[2]!HoadleySABROption($C36,$D$5,$D$6,BN$20,$D$8,$D$9,$D$10,$D$11,$D$12,$D$13,$D$14)</f>
        <v>-2.7876754035687807E-3</v>
      </c>
      <c r="BO36" s="71" cm="1">
        <f t="array" aca="1" ref="BO36" ca="1">[2]!HoadleySABROption($C36,$D$5,$D$6,BO$20,$D$8,$D$9,$D$10,$D$11,$D$12,$D$13,$D$14)</f>
        <v>-2.7706830822431024E-3</v>
      </c>
      <c r="BP36" s="71" cm="1">
        <f t="array" aca="1" ref="BP36" ca="1">[2]!HoadleySABROption($C36,$D$5,$D$6,BP$20,$D$8,$D$9,$D$10,$D$11,$D$12,$D$13,$D$14)</f>
        <v>-2.7542273255590933E-3</v>
      </c>
      <c r="BQ36" s="71" cm="1">
        <f t="array" aca="1" ref="BQ36" ca="1">[2]!HoadleySABROption($C36,$D$5,$D$6,BQ$20,$D$8,$D$9,$D$10,$D$11,$D$12,$D$13,$D$14)</f>
        <v>-2.7382820389205958E-3</v>
      </c>
      <c r="BR36" s="71" cm="1">
        <f t="array" aca="1" ref="BR36" ca="1">[2]!HoadleySABROption($C36,$D$5,$D$6,BR$20,$D$8,$D$9,$D$10,$D$11,$D$12,$D$13,$D$14)</f>
        <v>-2.7228228124324908E-3</v>
      </c>
      <c r="BS36" s="71" cm="1">
        <f t="array" aca="1" ref="BS36" ca="1">[2]!HoadleySABROption($C36,$D$5,$D$6,BS$20,$D$8,$D$9,$D$10,$D$11,$D$12,$D$13,$D$14)</f>
        <v>-2.707826786560525E-3</v>
      </c>
      <c r="BT36" s="71" cm="1">
        <f t="array" aca="1" ref="BT36" ca="1">[2]!HoadleySABROption($C36,$D$5,$D$6,BT$20,$D$8,$D$9,$D$10,$D$11,$D$12,$D$13,$D$14)</f>
        <v>-2.6932725304613121E-3</v>
      </c>
    </row>
    <row r="37" spans="2:72" x14ac:dyDescent="0.25">
      <c r="B37" s="15"/>
      <c r="C37" s="72" t="s">
        <v>60</v>
      </c>
      <c r="F37" s="65" t="s">
        <v>62</v>
      </c>
      <c r="G37" s="73" cm="1">
        <f t="array" aca="1" ref="G37" ca="1">[2]!HoadleyOptions2($C37,1,$D$5,G$20,$D$8,$D$9,G$22,$D$11,"c",$D$11)</f>
        <v>-2.6726827346021248E-3</v>
      </c>
      <c r="H37" s="73" cm="1">
        <f t="array" aca="1" ref="H37" ca="1">[2]!HoadleyOptions2($C37,1,$D$5,H$20,$D$8,$D$9,H$22,$D$11,"c",$D$11)</f>
        <v>-7.5032773432981781E-3</v>
      </c>
      <c r="I37" s="73" cm="1">
        <f t="array" aca="1" ref="I37" ca="1">[2]!HoadleyOptions2($C37,1,$D$5,I$20,$D$8,$D$9,I$22,$D$11,"c",$D$11)</f>
        <v>-1.2569885347784587E-2</v>
      </c>
      <c r="J37" s="73" cm="1">
        <f t="array" aca="1" ref="J37" ca="1">[2]!HoadleyOptions2($C37,1,$D$5,J$20,$D$8,$D$9,J$22,$D$11,"c",$D$11)</f>
        <v>-1.4810557667564906E-2</v>
      </c>
      <c r="K37" s="73" cm="1">
        <f t="array" aca="1" ref="K37" ca="1">[2]!HoadleyOptions2($C37,1,$D$5,K$20,$D$8,$D$9,K$22,$D$11,"c",$D$11)</f>
        <v>-1.4434418705801512E-2</v>
      </c>
      <c r="L37" s="73" cm="1">
        <f t="array" aca="1" ref="L37" ca="1">[2]!HoadleyOptions2($C37,1,$D$5,L$20,$D$8,$D$9,L$22,$D$11,"c",$D$11)</f>
        <v>-1.3087871110520675E-2</v>
      </c>
      <c r="M37" s="73" cm="1">
        <f t="array" aca="1" ref="M37" ca="1">[2]!HoadleyOptions2($C37,1,$D$5,M$20,$D$8,$D$9,M$22,$D$11,"c",$D$11)</f>
        <v>-1.166452066189356E-2</v>
      </c>
      <c r="N37" s="73" cm="1">
        <f t="array" aca="1" ref="N37" ca="1">[2]!HoadleyOptions2($C37,1,$D$5,N$20,$D$8,$D$9,N$22,$D$11,"c",$D$11)</f>
        <v>-1.042765420401579E-2</v>
      </c>
      <c r="O37" s="73" cm="1">
        <f t="array" aca="1" ref="O37" ca="1">[2]!HoadleyOptions2($C37,1,$D$5,O$20,$D$8,$D$9,O$22,$D$11,"c",$D$11)</f>
        <v>-9.4088745193667608E-3</v>
      </c>
      <c r="P37" s="73" cm="1">
        <f t="array" aca="1" ref="P37" ca="1">[2]!HoadleyOptions2($C37,1,$D$5,P$20,$D$8,$D$9,P$22,$D$11,"c",$D$11)</f>
        <v>-8.5786411998859495E-3</v>
      </c>
      <c r="Q37" s="73" cm="1">
        <f t="array" aca="1" ref="Q37" ca="1">[2]!HoadleyOptions2($C37,1,$D$5,Q$20,$D$8,$D$9,Q$22,$D$11,"c",$D$11)</f>
        <v>-7.8990487102236721E-3</v>
      </c>
      <c r="R37" s="73" cm="1">
        <f t="array" aca="1" ref="R37" ca="1">[2]!HoadleyOptions2($C37,1,$D$5,R$20,$D$8,$D$9,R$22,$D$11,"c",$D$11)</f>
        <v>-7.3372851136357543E-3</v>
      </c>
      <c r="S37" s="73" cm="1">
        <f t="array" aca="1" ref="S37" ca="1">[2]!HoadleyOptions2($C37,1,$D$5,S$20,$D$8,$D$9,S$22,$D$11,"c",$D$11)</f>
        <v>-6.867619235769098E-3</v>
      </c>
      <c r="T37" s="73" cm="1">
        <f t="array" aca="1" ref="T37" ca="1">[2]!HoadleyOptions2($C37,1,$D$5,T$20,$D$8,$D$9,T$22,$D$11,"c",$D$11)</f>
        <v>-6.4704686043258047E-3</v>
      </c>
      <c r="U37" s="73" cm="1">
        <f t="array" aca="1" ref="U37" ca="1">[2]!HoadleyOptions2($C37,1,$D$5,U$20,$D$8,$D$9,U$22,$D$11,"c",$D$11)</f>
        <v>-6.1310123229021164E-3</v>
      </c>
      <c r="V37" s="73" cm="1">
        <f t="array" aca="1" ref="V37" ca="1">[2]!HoadleyOptions2($C37,1,$D$5,V$20,$D$8,$D$9,V$22,$D$11,"c",$D$11)</f>
        <v>-5.8379821546037285E-3</v>
      </c>
      <c r="W37" s="73" cm="1">
        <f t="array" aca="1" ref="W37" ca="1">[2]!HoadleyOptions2($C37,1,$D$5,W$20,$D$8,$D$9,W$22,$D$11,"c",$D$11)</f>
        <v>-5.5827347390717099E-3</v>
      </c>
      <c r="X37" s="73" cm="1">
        <f t="array" aca="1" ref="X37" ca="1">[2]!HoadleyOptions2($C37,1,$D$5,X$20,$D$8,$D$9,X$22,$D$11,"c",$D$11)</f>
        <v>-5.3585697041379178E-3</v>
      </c>
      <c r="Y37" s="73" cm="1">
        <f t="array" aca="1" ref="Y37" ca="1">[2]!HoadleyOptions2($C37,1,$D$5,Y$20,$D$8,$D$9,Y$22,$D$11,"c",$D$11)</f>
        <v>-5.1602352178495518E-3</v>
      </c>
      <c r="Z37" s="73" cm="1">
        <f t="array" aca="1" ref="Z37" ca="1">[2]!HoadleyOptions2($C37,1,$D$5,Z$20,$D$8,$D$9,Z$22,$D$11,"c",$D$11)</f>
        <v>-4.9835696815317973E-3</v>
      </c>
      <c r="AA37" s="73" cm="1">
        <f t="array" aca="1" ref="AA37" ca="1">[2]!HoadleyOptions2($C37,1,$D$5,AA$20,$D$8,$D$9,AA$22,$D$11,"c",$D$11)</f>
        <v>-4.8252406637406533E-3</v>
      </c>
      <c r="AB37" s="73" cm="1">
        <f t="array" aca="1" ref="AB37" ca="1">[2]!HoadleyOptions2($C37,1,$D$5,AB$20,$D$8,$D$9,AB$22,$D$11,"c",$D$11)</f>
        <v>-4.6825530901147012E-3</v>
      </c>
      <c r="AC37" s="73" cm="1">
        <f t="array" aca="1" ref="AC37" ca="1">[2]!HoadleyOptions2($C37,1,$D$5,AC$20,$D$8,$D$9,AC$22,$D$11,"c",$D$11)</f>
        <v>-4.5533069466743561E-3</v>
      </c>
      <c r="AD37" s="73" cm="1">
        <f t="array" aca="1" ref="AD37" ca="1">[2]!HoadleyOptions2($C37,1,$D$5,AD$20,$D$8,$D$9,AD$22,$D$11,"c",$D$11)</f>
        <v>-4.4356906372886879E-3</v>
      </c>
      <c r="AE37" s="73" cm="1">
        <f t="array" aca="1" ref="AE37" ca="1">[2]!HoadleyOptions2($C37,1,$D$5,AE$20,$D$8,$D$9,AE$22,$D$11,"c",$D$11)</f>
        <v>-4.3282002435331068E-3</v>
      </c>
      <c r="AF37" s="73" cm="1">
        <f t="array" aca="1" ref="AF37" ca="1">[2]!HoadleyOptions2($C37,1,$D$5,AF$20,$D$8,$D$9,AF$22,$D$11,"c",$D$11)</f>
        <v>-4.2295777836300983E-3</v>
      </c>
      <c r="AG37" s="73" cm="1">
        <f t="array" aca="1" ref="AG37" ca="1">[2]!HoadleyOptions2($C37,1,$D$5,AG$20,$D$8,$D$9,AG$22,$D$11,"c",$D$11)</f>
        <v>-4.1387635443182391E-3</v>
      </c>
      <c r="AH37" s="73" cm="1">
        <f t="array" aca="1" ref="AH37" ca="1">[2]!HoadleyOptions2($C37,1,$D$5,AH$20,$D$8,$D$9,AH$22,$D$11,"c",$D$11)</f>
        <v>-4.0548589387197553E-3</v>
      </c>
      <c r="AI37" s="73" cm="1">
        <f t="array" aca="1" ref="AI37" ca="1">[2]!HoadleyOptions2($C37,1,$D$5,AI$20,$D$8,$D$9,AI$22,$D$11,"c",$D$11)</f>
        <v>-3.9770973123250423E-3</v>
      </c>
      <c r="AJ37" s="73" cm="1">
        <f t="array" aca="1" ref="AJ37" ca="1">[2]!HoadleyOptions2($C37,1,$D$5,AJ$20,$D$8,$D$9,AJ$22,$D$11,"c",$D$11)</f>
        <v>-3.9048208057682779E-3</v>
      </c>
      <c r="AK37" s="73" cm="1">
        <f t="array" aca="1" ref="AK37" ca="1">[2]!HoadleyOptions2($C37,1,$D$5,AK$20,$D$8,$D$9,AK$22,$D$11,"c",$D$11)</f>
        <v>-3.8374618738207808E-3</v>
      </c>
      <c r="AL37" s="73" cm="1">
        <f t="array" aca="1" ref="AL37" ca="1">[2]!HoadleyOptions2($C37,1,$D$5,AL$20,$D$8,$D$9,AL$22,$D$11,"c",$D$11)</f>
        <v>-3.7745284140162623E-3</v>
      </c>
      <c r="AM37" s="73" cm="1">
        <f t="array" aca="1" ref="AM37" ca="1">[2]!HoadleyOptions2($C37,1,$D$5,AM$20,$D$8,$D$9,AM$22,$D$11,"c",$D$11)</f>
        <v>-3.7155917159777778E-3</v>
      </c>
      <c r="AN37" s="73" cm="1">
        <f t="array" aca="1" ref="AN37" ca="1">[2]!HoadleyOptions2($C37,1,$D$5,AN$20,$D$8,$D$9,AN$22,$D$11,"c",$D$11)</f>
        <v>-3.6602766317268462E-3</v>
      </c>
      <c r="AO37" s="73" cm="1">
        <f t="array" aca="1" ref="AO37" ca="1">[2]!HoadleyOptions2($C37,1,$D$5,AO$20,$D$8,$D$9,AO$22,$D$11,"c",$D$11)</f>
        <v>-3.6082535074064433E-3</v>
      </c>
      <c r="AP37" s="73" cm="1">
        <f t="array" aca="1" ref="AP37" ca="1">[2]!HoadleyOptions2($C37,1,$D$5,AP$20,$D$8,$D$9,AP$22,$D$11,"c",$D$11)</f>
        <v>-3.5592315215337098E-3</v>
      </c>
      <c r="AQ37" s="73" cm="1">
        <f t="array" aca="1" ref="AQ37" ca="1">[2]!HoadleyOptions2($C37,1,$D$5,AQ$20,$D$8,$D$9,AQ$22,$D$11,"c",$D$11)</f>
        <v>-3.5129531537191261E-3</v>
      </c>
      <c r="AR37" s="73" cm="1">
        <f t="array" aca="1" ref="AR37" ca="1">[2]!HoadleyOptions2($C37,1,$D$5,AR$20,$D$8,$D$9,AR$22,$D$11,"c",$D$11)</f>
        <v>-3.469189567597411E-3</v>
      </c>
      <c r="AS37" s="73" cm="1">
        <f t="array" aca="1" ref="AS37" ca="1">[2]!HoadleyOptions2($C37,1,$D$5,AS$20,$D$8,$D$9,AS$22,$D$11,"c",$D$11)</f>
        <v>-3.4277367374332072E-3</v>
      </c>
      <c r="AT37" s="73" cm="1">
        <f t="array" aca="1" ref="AT37" ca="1">[2]!HoadleyOptions2($C37,1,$D$5,AT$20,$D$8,$D$9,AT$22,$D$11,"c",$D$11)</f>
        <v>-3.3884121830603966E-3</v>
      </c>
      <c r="AU37" s="73" cm="1">
        <f t="array" aca="1" ref="AU37" ca="1">[2]!HoadleyOptions2($C37,1,$D$5,AU$20,$D$8,$D$9,AU$22,$D$11,"c",$D$11)</f>
        <v>-3.3510522050930634E-3</v>
      </c>
      <c r="AV37" s="73" cm="1">
        <f t="array" aca="1" ref="AV37" ca="1">[2]!HoadleyOptions2($C37,1,$D$5,AV$20,$D$8,$D$9,AV$22,$D$11,"c",$D$11)</f>
        <v>-3.3155095336262204E-3</v>
      </c>
      <c r="AW37" s="73" cm="1">
        <f t="array" aca="1" ref="AW37" ca="1">[2]!HoadleyOptions2($C37,1,$D$5,AW$20,$D$8,$D$9,AW$22,$D$11,"c",$D$11)</f>
        <v>-3.281651320349215E-3</v>
      </c>
      <c r="AX37" s="73" cm="1">
        <f t="array" aca="1" ref="AX37" ca="1">[2]!HoadleyOptions2($C37,1,$D$5,AX$20,$D$8,$D$9,AX$22,$D$11,"c",$D$11)</f>
        <v>-3.2493574171840521E-3</v>
      </c>
      <c r="AY37" s="73" cm="1">
        <f t="array" aca="1" ref="AY37" ca="1">[2]!HoadleyOptions2($C37,1,$D$5,AY$20,$D$8,$D$9,AY$22,$D$11,"c",$D$11)</f>
        <v>-3.2185188950363498E-3</v>
      </c>
      <c r="AZ37" s="73" cm="1">
        <f t="array" aca="1" ref="AZ37" ca="1">[2]!HoadleyOptions2($C37,1,$D$5,AZ$20,$D$8,$D$9,AZ$22,$D$11,"c",$D$11)</f>
        <v>-3.1890367646084938E-3</v>
      </c>
      <c r="BA37" s="73" cm="1">
        <f t="array" aca="1" ref="BA37" ca="1">[2]!HoadleyOptions2($C37,1,$D$5,BA$20,$D$8,$D$9,BA$22,$D$11,"c",$D$11)</f>
        <v>-3.1608208679371752E-3</v>
      </c>
      <c r="BB37" s="73" cm="1">
        <f t="array" aca="1" ref="BB37" ca="1">[2]!HoadleyOptions2($C37,1,$D$5,BB$20,$D$8,$D$9,BB$22,$D$11,"c",$D$11)</f>
        <v>-3.1337889147326674E-3</v>
      </c>
      <c r="BC37" s="73" cm="1">
        <f t="array" aca="1" ref="BC37" ca="1">[2]!HoadleyOptions2($C37,1,$D$5,BC$20,$D$8,$D$9,BC$22,$D$11,"c",$D$11)</f>
        <v>-3.1078656419829629E-3</v>
      </c>
      <c r="BD37" s="73" cm="1">
        <f t="array" aca="1" ref="BD37" ca="1">[2]!HoadleyOptions2($C37,1,$D$5,BD$20,$D$8,$D$9,BD$22,$D$11,"c",$D$11)</f>
        <v>-3.082982078860895E-3</v>
      </c>
      <c r="BE37" s="73" cm="1">
        <f t="array" aca="1" ref="BE37" ca="1">[2]!HoadleyOptions2($C37,1,$D$5,BE$20,$D$8,$D$9,BE$22,$D$11,"c",$D$11)</f>
        <v>-3.0590749018919844E-3</v>
      </c>
      <c r="BF37" s="73" cm="1">
        <f t="array" aca="1" ref="BF37" ca="1">[2]!HoadleyOptions2($C37,1,$D$5,BF$20,$D$8,$D$9,BF$22,$D$11,"c",$D$11)</f>
        <v>-3.036085867742005E-3</v>
      </c>
      <c r="BG37" s="73" cm="1">
        <f t="array" aca="1" ref="BG37" ca="1">[2]!HoadleyOptions2($C37,1,$D$5,BG$20,$D$8,$D$9,BG$22,$D$11,"c",$D$11)</f>
        <v>-3.0139613129599174E-3</v>
      </c>
      <c r="BH37" s="73" cm="1">
        <f t="array" aca="1" ref="BH37" ca="1">[2]!HoadleyOptions2($C37,1,$D$5,BH$20,$D$8,$D$9,BH$22,$D$11,"c",$D$11)</f>
        <v>-2.9926517116514325E-3</v>
      </c>
      <c r="BI37" s="73" cm="1">
        <f t="array" aca="1" ref="BI37" ca="1">[2]!HoadleyOptions2($C37,1,$D$5,BI$20,$D$8,$D$9,BI$22,$D$11,"c",$D$11)</f>
        <v>-2.9721112834176239E-3</v>
      </c>
      <c r="BJ37" s="73" cm="1">
        <f t="array" aca="1" ref="BJ37" ca="1">[2]!HoadleyOptions2($C37,1,$D$5,BJ$20,$D$8,$D$9,BJ$22,$D$11,"c",$D$11)</f>
        <v>-2.952297645029806E-3</v>
      </c>
      <c r="BK37" s="73" cm="1">
        <f t="array" aca="1" ref="BK37" ca="1">[2]!HoadleyOptions2($C37,1,$D$5,BK$20,$D$8,$D$9,BK$22,$D$11,"c",$D$11)</f>
        <v>-2.9331715002597824E-3</v>
      </c>
      <c r="BL37" s="73" cm="1">
        <f t="array" aca="1" ref="BL37" ca="1">[2]!HoadleyOptions2($C37,1,$D$5,BL$20,$D$8,$D$9,BL$22,$D$11,"c",$D$11)</f>
        <v>-2.9146963630834869E-3</v>
      </c>
      <c r="BM37" s="73" cm="1">
        <f t="array" aca="1" ref="BM37" ca="1">[2]!HoadleyOptions2($C37,1,$D$5,BM$20,$D$8,$D$9,BM$22,$D$11,"c",$D$11)</f>
        <v>-2.896838310147276E-3</v>
      </c>
      <c r="BN37" s="73" cm="1">
        <f t="array" aca="1" ref="BN37" ca="1">[2]!HoadleyOptions2($C37,1,$D$5,BN$20,$D$8,$D$9,BN$22,$D$11,"c",$D$11)</f>
        <v>-2.8795657589533522E-3</v>
      </c>
      <c r="BO37" s="73" cm="1">
        <f t="array" aca="1" ref="BO37" ca="1">[2]!HoadleyOptions2($C37,1,$D$5,BO$20,$D$8,$D$9,BO$22,$D$11,"c",$D$11)</f>
        <v>-2.8628492687033298E-3</v>
      </c>
      <c r="BP37" s="73" cm="1">
        <f t="array" aca="1" ref="BP37" ca="1">[2]!HoadleyOptions2($C37,1,$D$5,BP$20,$D$8,$D$9,BP$22,$D$11,"c",$D$11)</f>
        <v>-2.8466613611459629E-3</v>
      </c>
      <c r="BQ37" s="73" cm="1">
        <f t="array" aca="1" ref="BQ37" ca="1">[2]!HoadleyOptions2($C37,1,$D$5,BQ$20,$D$8,$D$9,BQ$22,$D$11,"c",$D$11)</f>
        <v>-2.8309763591257897E-3</v>
      </c>
      <c r="BR37" s="73" cm="1">
        <f t="array" aca="1" ref="BR37" ca="1">[2]!HoadleyOptions2($C37,1,$D$5,BR$20,$D$8,$D$9,BR$22,$D$11,"c",$D$11)</f>
        <v>-2.8157702408259972E-3</v>
      </c>
      <c r="BS37" s="73" cm="1">
        <f t="array" aca="1" ref="BS37" ca="1">[2]!HoadleyOptions2($C37,1,$D$5,BS$20,$D$8,$D$9,BS$22,$D$11,"c",$D$11)</f>
        <v>-2.8010205079547624E-3</v>
      </c>
      <c r="BT37" s="73" cm="1">
        <f t="array" aca="1" ref="BT37" ca="1">[2]!HoadleyOptions2($C37,1,$D$5,BT$20,$D$8,$D$9,BT$22,$D$11,"c",$D$11)</f>
        <v>-2.7867060663441219E-3</v>
      </c>
    </row>
    <row r="38" spans="2:72" x14ac:dyDescent="0.25">
      <c r="B38" s="15"/>
      <c r="C38" s="74"/>
      <c r="F38" s="75"/>
      <c r="G38" s="15"/>
      <c r="Q38" s="69"/>
      <c r="R38" s="69"/>
      <c r="S38" s="69"/>
      <c r="T38" s="69"/>
      <c r="U38" s="69"/>
      <c r="V38" s="69"/>
      <c r="W38" s="69"/>
      <c r="X38" s="69"/>
      <c r="Y38" s="69"/>
      <c r="Z38" s="69"/>
      <c r="AA38" s="69"/>
      <c r="AB38" s="69"/>
      <c r="AC38" s="69"/>
      <c r="AD38" s="69"/>
      <c r="AE38" s="69"/>
      <c r="AF38" s="69"/>
      <c r="AG38" s="69"/>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69"/>
      <c r="BH38" s="69"/>
      <c r="BI38" s="69"/>
      <c r="BJ38" s="69"/>
      <c r="BK38" s="69"/>
      <c r="BL38" s="69"/>
      <c r="BM38" s="69"/>
      <c r="BN38" s="69"/>
      <c r="BO38" s="69"/>
      <c r="BP38" s="69"/>
      <c r="BQ38" s="69"/>
      <c r="BR38" s="69"/>
      <c r="BS38" s="69"/>
      <c r="BT38" s="69"/>
    </row>
    <row r="39" spans="2:72" x14ac:dyDescent="0.25">
      <c r="B39" s="9" t="s">
        <v>63</v>
      </c>
      <c r="C39" s="70" t="s">
        <v>64</v>
      </c>
      <c r="F39" s="65" t="s">
        <v>65</v>
      </c>
      <c r="G39" s="71" cm="1">
        <f t="array" aca="1" ref="G39" ca="1">[2]!HoadleySABROption($C39,$D$5,$D$6,G$20,$D$8,$D$9,$D$10,$D$11,$D$12,$D$13,$D$14)</f>
        <v>-1.9297025525450984E-3</v>
      </c>
      <c r="H39" s="71" cm="1">
        <f t="array" aca="1" ref="H39" ca="1">[2]!HoadleySABROption($C39,$D$5,$D$6,H$20,$D$8,$D$9,$D$10,$D$11,$D$12,$D$13,$D$14)</f>
        <v>-1.2872199981838195E-3</v>
      </c>
      <c r="I39" s="71" cm="1">
        <f t="array" aca="1" ref="I39" ca="1">[2]!HoadleySABROption($C39,$D$5,$D$6,I$20,$D$8,$D$9,$D$10,$D$11,$D$12,$D$13,$D$14)</f>
        <v>-7.8304103890336485E-4</v>
      </c>
      <c r="J39" s="71" cm="1">
        <f t="array" aca="1" ref="J39" ca="1">[2]!HoadleySABROption($C39,$D$5,$D$6,J$20,$D$8,$D$9,$D$10,$D$11,$D$12,$D$13,$D$14)</f>
        <v>-4.623771892452444E-4</v>
      </c>
      <c r="K39" s="71" cm="1">
        <f t="array" aca="1" ref="K39" ca="1">[2]!HoadleySABROption($C39,$D$5,$D$6,K$20,$D$8,$D$9,$D$10,$D$11,$D$12,$D$13,$D$14)</f>
        <v>-2.8684941672360575E-4</v>
      </c>
      <c r="L39" s="71" cm="1">
        <f t="array" aca="1" ref="L39" ca="1">[2]!HoadleySABROption($C39,$D$5,$D$6,L$20,$D$8,$D$9,$D$10,$D$11,$D$12,$D$13,$D$14)</f>
        <v>-1.92815426783427E-4</v>
      </c>
      <c r="M39" s="71" cm="1">
        <f t="array" aca="1" ref="M39" ca="1">[2]!HoadleySABROption($C39,$D$5,$D$6,M$20,$D$8,$D$9,$D$10,$D$11,$D$12,$D$13,$D$14)</f>
        <v>-1.3960130008219829E-4</v>
      </c>
      <c r="N39" s="71" cm="1">
        <f t="array" aca="1" ref="N39" ca="1">[2]!HoadleySABROption($C39,$D$5,$D$6,N$20,$D$8,$D$9,$D$10,$D$11,$D$12,$D$13,$D$14)</f>
        <v>-1.0722742126716145E-4</v>
      </c>
      <c r="O39" s="71" cm="1">
        <f t="array" aca="1" ref="O39" ca="1">[2]!HoadleySABROption($C39,$D$5,$D$6,O$20,$D$8,$D$9,$D$10,$D$11,$D$12,$D$13,$D$14)</f>
        <v>-8.617844358442539E-5</v>
      </c>
      <c r="P39" s="71" cm="1">
        <f t="array" aca="1" ref="P39" ca="1">[2]!HoadleySABROption($C39,$D$5,$D$6,P$20,$D$8,$D$9,$D$10,$D$11,$D$12,$D$13,$D$14)</f>
        <v>-7.1710153927269371E-5</v>
      </c>
      <c r="Q39" s="71" cm="1">
        <f t="array" aca="1" ref="Q39" ca="1">[2]!HoadleySABROption($C39,$D$5,$D$6,Q$20,$D$8,$D$9,$D$10,$D$11,$D$12,$D$13,$D$14)</f>
        <v>-6.1302947926597517E-5</v>
      </c>
      <c r="R39" s="71" cm="1">
        <f t="array" aca="1" ref="R39" ca="1">[2]!HoadleySABROption($C39,$D$5,$D$6,R$20,$D$8,$D$9,$D$10,$D$11,$D$12,$D$13,$D$14)</f>
        <v>-5.3533941540520602E-5</v>
      </c>
      <c r="S39" s="71" cm="1">
        <f t="array" aca="1" ref="S39" ca="1">[2]!HoadleySABROption($C39,$D$5,$D$6,S$20,$D$8,$D$9,$D$10,$D$11,$D$12,$D$13,$D$14)</f>
        <v>-4.7554497911404814E-5</v>
      </c>
      <c r="T39" s="71" cm="1">
        <f t="array" aca="1" ref="T39" ca="1">[2]!HoadleySABROption($C39,$D$5,$D$6,T$20,$D$8,$D$9,$D$10,$D$11,$D$12,$D$13,$D$14)</f>
        <v>-4.2833994840358464E-5</v>
      </c>
      <c r="U39" s="71" cm="1">
        <f t="array" aca="1" ref="U39" ca="1">[2]!HoadleySABROption($C39,$D$5,$D$6,U$20,$D$8,$D$9,$D$10,$D$11,$D$12,$D$13,$D$14)</f>
        <v>-3.9026914382477018E-5</v>
      </c>
      <c r="V39" s="71" cm="1">
        <f t="array" aca="1" ref="V39" ca="1">[2]!HoadleySABROption($C39,$D$5,$D$6,V$20,$D$8,$D$9,$D$10,$D$11,$D$12,$D$13,$D$14)</f>
        <v>-3.590027645020491E-5</v>
      </c>
      <c r="W39" s="71" cm="1">
        <f t="array" aca="1" ref="W39" ca="1">[2]!HoadleySABROption($C39,$D$5,$D$6,W$20,$D$8,$D$9,$D$10,$D$11,$D$12,$D$13,$D$14)</f>
        <v>-3.3292169166268537E-5</v>
      </c>
      <c r="X39" s="71" cm="1">
        <f t="array" aca="1" ref="X39" ca="1">[2]!HoadleySABROption($C39,$D$5,$D$6,X$20,$D$8,$D$9,$D$10,$D$11,$D$12,$D$13,$D$14)</f>
        <v>-3.1087075285360366E-5</v>
      </c>
      <c r="Y39" s="71" cm="1">
        <f t="array" aca="1" ref="Y39" ca="1">[2]!HoadleySABROption($C39,$D$5,$D$6,Y$20,$D$8,$D$9,$D$10,$D$11,$D$12,$D$13,$D$14)</f>
        <v>-2.9200660215725899E-5</v>
      </c>
      <c r="Z39" s="71" cm="1">
        <f t="array" aca="1" ref="Z39" ca="1">[2]!HoadleySABROption($C39,$D$5,$D$6,Z$20,$D$8,$D$9,$D$10,$D$11,$D$12,$D$13,$D$14)</f>
        <v>-2.7570093485439207E-5</v>
      </c>
      <c r="AA39" s="71" cm="1">
        <f t="array" aca="1" ref="AA39" ca="1">[2]!HoadleySABROption($C39,$D$5,$D$6,AA$20,$D$8,$D$9,$D$10,$D$11,$D$12,$D$13,$D$14)</f>
        <v>-2.6147716257991088E-5</v>
      </c>
      <c r="AB39" s="71" cm="1">
        <f t="array" aca="1" ref="AB39" ca="1">[2]!HoadleySABROption($C39,$D$5,$D$6,AB$20,$D$8,$D$9,$D$10,$D$11,$D$12,$D$13,$D$14)</f>
        <v>-2.4896793486817864E-5</v>
      </c>
      <c r="AC39" s="71" cm="1">
        <f t="array" aca="1" ref="AC39" ca="1">[2]!HoadleySABROption($C39,$D$5,$D$6,AC$20,$D$8,$D$9,$D$10,$D$11,$D$12,$D$13,$D$14)</f>
        <v>-2.3788600056973142E-5</v>
      </c>
      <c r="AD39" s="71" cm="1">
        <f t="array" aca="1" ref="AD39" ca="1">[2]!HoadleySABROption($C39,$D$5,$D$6,AD$20,$D$8,$D$9,$D$10,$D$11,$D$12,$D$13,$D$14)</f>
        <v>-2.2800381374751127E-5</v>
      </c>
      <c r="AE39" s="71" cm="1">
        <f t="array" aca="1" ref="AE39" ca="1">[2]!HoadleySABROption($C39,$D$5,$D$6,AE$20,$D$8,$D$9,$D$10,$D$11,$D$12,$D$13,$D$14)</f>
        <v>-2.1913899785862279E-5</v>
      </c>
      <c r="AF39" s="71" cm="1">
        <f t="array" aca="1" ref="AF39" ca="1">[2]!HoadleySABROption($C39,$D$5,$D$6,AF$20,$D$8,$D$9,$D$10,$D$11,$D$12,$D$13,$D$14)</f>
        <v>-2.1114381292411735E-5</v>
      </c>
      <c r="AG39" s="71" cm="1">
        <f t="array" aca="1" ref="AG39" ca="1">[2]!HoadleySABROption($C39,$D$5,$D$6,AG$20,$D$8,$D$9,$D$10,$D$11,$D$12,$D$13,$D$14)</f>
        <v>-2.0389740759555255E-5</v>
      </c>
      <c r="AH39" s="71" cm="1">
        <f t="array" aca="1" ref="AH39" ca="1">[2]!HoadleySABROption($C39,$D$5,$D$6,AH$20,$D$8,$D$9,$D$10,$D$11,$D$12,$D$13,$D$14)</f>
        <v>-1.97300040796905E-5</v>
      </c>
      <c r="AI39" s="71" cm="1">
        <f t="array" aca="1" ref="AI39" ca="1">[2]!HoadleySABROption($C39,$D$5,$D$6,AI$20,$D$8,$D$9,$D$10,$D$11,$D$12,$D$13,$D$14)</f>
        <v>-1.9126871747531318E-5</v>
      </c>
      <c r="AJ39" s="71" cm="1">
        <f t="array" aca="1" ref="AJ39" ca="1">[2]!HoadleySABROption($C39,$D$5,$D$6,AJ$20,$D$8,$D$9,$D$10,$D$11,$D$12,$D$13,$D$14)</f>
        <v>-1.8573385382700605E-5</v>
      </c>
      <c r="AK39" s="71" cm="1">
        <f t="array" aca="1" ref="AK39" ca="1">[2]!HoadleySABROption($C39,$D$5,$D$6,AK$20,$D$8,$D$9,$D$10,$D$11,$D$12,$D$13,$D$14)</f>
        <v>-1.806367016356919E-5</v>
      </c>
      <c r="AL39" s="71" cm="1">
        <f t="array" aca="1" ref="AL39" ca="1">[2]!HoadleySABROption($C39,$D$5,$D$6,AL$20,$D$8,$D$9,$D$10,$D$11,$D$12,$D$13,$D$14)</f>
        <v>-1.7592733903292607E-5</v>
      </c>
      <c r="AM39" s="71" cm="1">
        <f t="array" aca="1" ref="AM39" ca="1">[2]!HoadleySABROption($C39,$D$5,$D$6,AM$20,$D$8,$D$9,$D$10,$D$11,$D$12,$D$13,$D$14)</f>
        <v>-1.7156308857003283E-5</v>
      </c>
      <c r="AN39" s="71" cm="1">
        <f t="array" aca="1" ref="AN39" ca="1">[2]!HoadleySABROption($C39,$D$5,$D$6,AN$20,$D$8,$D$9,$D$10,$D$11,$D$12,$D$13,$D$14)</f>
        <v>-1.6750726096814023E-5</v>
      </c>
      <c r="AO39" s="71" cm="1">
        <f t="array" aca="1" ref="AO39" ca="1">[2]!HoadleySABROption($C39,$D$5,$D$6,AO$20,$D$8,$D$9,$D$10,$D$11,$D$12,$D$13,$D$14)</f>
        <v>-1.6372814946189265E-5</v>
      </c>
      <c r="AP39" s="71" cm="1">
        <f t="array" aca="1" ref="AP39" ca="1">[2]!HoadleySABROption($C39,$D$5,$D$6,AP$20,$D$8,$D$9,$D$10,$D$11,$D$12,$D$13,$D$14)</f>
        <v>-1.6019821868770018E-5</v>
      </c>
      <c r="AQ39" s="71" cm="1">
        <f t="array" aca="1" ref="AQ39" ca="1">[2]!HoadleySABROption($C39,$D$5,$D$6,AQ$20,$D$8,$D$9,$D$10,$D$11,$D$12,$D$13,$D$14)</f>
        <v>-1.5689344586743842E-5</v>
      </c>
      <c r="AR39" s="71" cm="1">
        <f t="array" aca="1" ref="AR39" ca="1">[2]!HoadleySABROption($C39,$D$5,$D$6,AR$20,$D$8,$D$9,$D$10,$D$11,$D$12,$D$13,$D$14)</f>
        <v>-1.5379278215070166E-5</v>
      </c>
      <c r="AS39" s="71" cm="1">
        <f t="array" aca="1" ref="AS39" ca="1">[2]!HoadleySABROption($C39,$D$5,$D$6,AS$20,$D$8,$D$9,$D$10,$D$11,$D$12,$D$13,$D$14)</f>
        <v>-1.5087770945897833E-5</v>
      </c>
      <c r="AT39" s="71" cm="1">
        <f t="array" aca="1" ref="AT39" ca="1">[2]!HoadleySABROption($C39,$D$5,$D$6,AT$20,$D$8,$D$9,$D$10,$D$11,$D$12,$D$13,$D$14)</f>
        <v>-1.481318737622285E-5</v>
      </c>
      <c r="AU39" s="71" cm="1">
        <f t="array" aca="1" ref="AU39" ca="1">[2]!HoadleySABROption($C39,$D$5,$D$6,AU$20,$D$8,$D$9,$D$10,$D$11,$D$12,$D$13,$D$14)</f>
        <v>-1.455407799270253E-5</v>
      </c>
      <c r="AV39" s="71" cm="1">
        <f t="array" aca="1" ref="AV39" ca="1">[2]!HoadleySABROption($C39,$D$5,$D$6,AV$20,$D$8,$D$9,$D$10,$D$11,$D$12,$D$13,$D$14)</f>
        <v>-1.4309153647116407E-5</v>
      </c>
      <c r="AW39" s="71" cm="1">
        <f t="array" aca="1" ref="AW39" ca="1">[2]!HoadleySABROption($C39,$D$5,$D$6,AW$20,$D$8,$D$9,$D$10,$D$11,$D$12,$D$13,$D$14)</f>
        <v>-1.4077264100692197E-5</v>
      </c>
      <c r="AX39" s="71" cm="1">
        <f t="array" aca="1" ref="AX39" ca="1">[2]!HoadleySABROption($C39,$D$5,$D$6,AX$20,$D$8,$D$9,$D$10,$D$11,$D$12,$D$13,$D$14)</f>
        <v>-1.3857379904129788E-5</v>
      </c>
      <c r="AY39" s="71" cm="1">
        <f t="array" aca="1" ref="AY39" ca="1">[2]!HoadleySABROption($C39,$D$5,$D$6,AY$20,$D$8,$D$9,$D$10,$D$11,$D$12,$D$13,$D$14)</f>
        <v>-1.3648577026650205E-5</v>
      </c>
      <c r="AZ39" s="71" cm="1">
        <f t="array" aca="1" ref="AZ39" ca="1">[2]!HoadleySABROption($C39,$D$5,$D$6,AZ$20,$D$8,$D$9,$D$10,$D$11,$D$12,$D$13,$D$14)</f>
        <v>-1.3450023761912497E-5</v>
      </c>
      <c r="BA39" s="71" cm="1">
        <f t="array" aca="1" ref="BA39" ca="1">[2]!HoadleySABROption($C39,$D$5,$D$6,BA$20,$D$8,$D$9,$D$10,$D$11,$D$12,$D$13,$D$14)</f>
        <v>-1.3260969528661529E-5</v>
      </c>
      <c r="BB39" s="71" cm="1">
        <f t="array" aca="1" ref="BB39" ca="1">[2]!HoadleySABROption($C39,$D$5,$D$6,BB$20,$D$8,$D$9,$D$10,$D$11,$D$12,$D$13,$D$14)</f>
        <v>-1.3080735255263307E-5</v>
      </c>
      <c r="BC39" s="71" cm="1">
        <f t="array" aca="1" ref="BC39" ca="1">[2]!HoadleySABROption($C39,$D$5,$D$6,BC$20,$D$8,$D$9,$D$10,$D$11,$D$12,$D$13,$D$14)</f>
        <v>-1.2908705093985645E-5</v>
      </c>
      <c r="BD39" s="71" cm="1">
        <f t="array" aca="1" ref="BD39" ca="1">[2]!HoadleySABROption($C39,$D$5,$D$6,BD$20,$D$8,$D$9,$D$10,$D$11,$D$12,$D$13,$D$14)</f>
        <v>-1.2744319256229389E-5</v>
      </c>
      <c r="BE39" s="71" cm="1">
        <f t="array" aca="1" ref="BE39" ca="1">[2]!HoadleySABROption($C39,$D$5,$D$6,BE$20,$D$8,$D$9,$D$10,$D$11,$D$12,$D$13,$D$14)</f>
        <v>-1.2587067796448678E-5</v>
      </c>
      <c r="BF39" s="71" cm="1">
        <f t="array" aca="1" ref="BF39" ca="1">[2]!HoadleySABROption($C39,$D$5,$D$6,BF$20,$D$8,$D$9,$D$10,$D$11,$D$12,$D$13,$D$14)</f>
        <v>-1.2436485201933536E-5</v>
      </c>
      <c r="BG39" s="71" cm="1">
        <f t="array" aca="1" ref="BG39" ca="1">[2]!HoadleySABROption($C39,$D$5,$D$6,BG$20,$D$8,$D$9,$D$10,$D$11,$D$12,$D$13,$D$14)</f>
        <v>-1.2292145669674792E-5</v>
      </c>
      <c r="BH39" s="71" cm="1">
        <f t="array" aca="1" ref="BH39" ca="1">[2]!HoadleySABROption($C39,$D$5,$D$6,BH$20,$D$8,$D$9,$D$10,$D$11,$D$12,$D$13,$D$14)</f>
        <v>-1.215365897095852E-5</v>
      </c>
      <c r="BI39" s="71" cm="1">
        <f t="array" aca="1" ref="BI39" ca="1">[2]!HoadleySABROption($C39,$D$5,$D$6,BI$20,$D$8,$D$9,$D$10,$D$11,$D$12,$D$13,$D$14)</f>
        <v>-1.2020666820442352E-5</v>
      </c>
      <c r="BJ39" s="71" cm="1">
        <f t="array" aca="1" ref="BJ39" ca="1">[2]!HoadleySABROption($C39,$D$5,$D$6,BJ$20,$D$8,$D$9,$D$10,$D$11,$D$12,$D$13,$D$14)</f>
        <v>-1.1892839679587472E-5</v>
      </c>
      <c r="BK39" s="71" cm="1">
        <f t="array" aca="1" ref="BK39" ca="1">[2]!HoadleySABROption($C39,$D$5,$D$6,BK$20,$D$8,$D$9,$D$10,$D$11,$D$12,$D$13,$D$14)</f>
        <v>-1.1769873935219347E-5</v>
      </c>
      <c r="BL39" s="71" cm="1">
        <f t="array" aca="1" ref="BL39" ca="1">[2]!HoadleySABROption($C39,$D$5,$D$6,BL$20,$D$8,$D$9,$D$10,$D$11,$D$12,$D$13,$D$14)</f>
        <v>-1.1651489403014317E-5</v>
      </c>
      <c r="BM39" s="71" cm="1">
        <f t="array" aca="1" ref="BM39" ca="1">[2]!HoadleySABROption($C39,$D$5,$D$6,BM$20,$D$8,$D$9,$D$10,$D$11,$D$12,$D$13,$D$14)</f>
        <v>-1.1537427113213553E-5</v>
      </c>
      <c r="BN39" s="71" cm="1">
        <f t="array" aca="1" ref="BN39" ca="1">[2]!HoadleySABROption($C39,$D$5,$D$6,BN$20,$D$8,$D$9,$D$10,$D$11,$D$12,$D$13,$D$14)</f>
        <v>-1.1427447342147318E-5</v>
      </c>
      <c r="BO39" s="71" cm="1">
        <f t="array" aca="1" ref="BO39" ca="1">[2]!HoadleySABROption($C39,$D$5,$D$6,BO$20,$D$8,$D$9,$D$10,$D$11,$D$12,$D$13,$D$14)</f>
        <v>-1.1321327858398317E-5</v>
      </c>
      <c r="BP39" s="71" cm="1">
        <f t="array" aca="1" ref="BP39" ca="1">[2]!HoadleySABROption($C39,$D$5,$D$6,BP$20,$D$8,$D$9,$D$10,$D$11,$D$12,$D$13,$D$14)</f>
        <v>-1.1218862356884157E-5</v>
      </c>
      <c r="BQ39" s="71" cm="1">
        <f t="array" aca="1" ref="BQ39" ca="1">[2]!HoadleySABROption($C39,$D$5,$D$6,BQ$20,$D$8,$D$9,$D$10,$D$11,$D$12,$D$13,$D$14)</f>
        <v>-1.1119859057808802E-5</v>
      </c>
      <c r="BR39" s="71" cm="1">
        <f t="array" aca="1" ref="BR39" ca="1">[2]!HoadleySABROption($C39,$D$5,$D$6,BR$20,$D$8,$D$9,$D$10,$D$11,$D$12,$D$13,$D$14)</f>
        <v>-1.1024139450673334E-5</v>
      </c>
      <c r="BS39" s="71" cm="1">
        <f t="array" aca="1" ref="BS39" ca="1">[2]!HoadleySABROption($C39,$D$5,$D$6,BS$20,$D$8,$D$9,$D$10,$D$11,$D$12,$D$13,$D$14)</f>
        <v>-1.093153716614538E-5</v>
      </c>
      <c r="BT39" s="71" cm="1">
        <f t="array" aca="1" ref="BT39" ca="1">[2]!HoadleySABROption($C39,$D$5,$D$6,BT$20,$D$8,$D$9,$D$10,$D$11,$D$12,$D$13,$D$14)</f>
        <v>-1.0841896960883321E-5</v>
      </c>
    </row>
    <row r="40" spans="2:72" x14ac:dyDescent="0.25">
      <c r="B40" s="76"/>
      <c r="C40" s="72" t="s">
        <v>64</v>
      </c>
      <c r="D40" s="19"/>
      <c r="E40" s="19"/>
      <c r="F40" s="68" t="s">
        <v>66</v>
      </c>
      <c r="G40" s="73" cm="1">
        <f t="array" aca="1" ref="G40" ca="1">[2]!HoadleyOptions2($C40,1,$D$5,G$20,$D$8,$D$9,G$22,$D$11+0.01,"c",$D$11+0.01)-G25</f>
        <v>-2.6665252614034238</v>
      </c>
      <c r="H40" s="73" cm="1">
        <f t="array" aca="1" ref="H40" ca="1">[2]!HoadleyOptions2($C40,1,$D$5,H$20,$D$8,$D$9,H$22,$D$11+0.01,"c",$D$11+0.01)-H25</f>
        <v>-1.77790405206865</v>
      </c>
      <c r="I40" s="73" cm="1">
        <f t="array" aca="1" ref="I40" ca="1">[2]!HoadleyOptions2($C40,1,$D$5,I$20,$D$8,$D$9,I$22,$D$11+0.01,"c",$D$11+0.01)-I25</f>
        <v>-1.0809318045064142</v>
      </c>
      <c r="J40" s="73" cm="1">
        <f t="array" aca="1" ref="J40" ca="1">[2]!HoadleyOptions2($C40,1,$D$5,J$20,$D$8,$D$9,J$22,$D$11+0.01,"c",$D$11+0.01)-J25</f>
        <v>-0.63795870630995399</v>
      </c>
      <c r="K40" s="73" cm="1">
        <f t="array" aca="1" ref="K40" ca="1">[2]!HoadleyOptions2($C40,1,$D$5,K$20,$D$8,$D$9,K$22,$D$11+0.01,"c",$D$11+0.01)-K25</f>
        <v>-0.3956422249262786</v>
      </c>
      <c r="L40" s="73" cm="1">
        <f t="array" aca="1" ref="L40" ca="1">[2]!HoadleyOptions2($C40,1,$D$5,L$20,$D$8,$D$9,L$22,$D$11+0.01,"c",$D$11+0.01)-L25</f>
        <v>-0.26589042320808665</v>
      </c>
      <c r="M40" s="73" cm="1">
        <f t="array" aca="1" ref="M40" ca="1">[2]!HoadleyOptions2($C40,1,$D$5,M$20,$D$8,$D$9,M$22,$D$11+0.01,"c",$D$11+0.01)-M25</f>
        <v>-0.19248807974291723</v>
      </c>
      <c r="N40" s="73" cm="1">
        <f t="array" aca="1" ref="N40" ca="1">[2]!HoadleyOptions2($C40,1,$D$5,N$20,$D$8,$D$9,N$22,$D$11+0.01,"c",$D$11+0.01)-N25</f>
        <v>-0.14784235141607235</v>
      </c>
      <c r="O40" s="73" cm="1">
        <f t="array" aca="1" ref="O40" ca="1">[2]!HoadleyOptions2($C40,1,$D$5,O$20,$D$8,$D$9,O$22,$D$11+0.01,"c",$D$11+0.01)-O25</f>
        <v>-0.11881857071802672</v>
      </c>
      <c r="P40" s="73" cm="1">
        <f t="array" aca="1" ref="P40" ca="1">[2]!HoadleyOptions2($C40,1,$D$5,P$20,$D$8,$D$9,P$22,$D$11+0.01,"c",$D$11+0.01)-P25</f>
        <v>-9.8870464035116526E-2</v>
      </c>
      <c r="Q40" s="73" cm="1">
        <f t="array" aca="1" ref="Q40" ca="1">[2]!HoadleyOptions2($C40,1,$D$5,Q$20,$D$8,$D$9,Q$22,$D$11+0.01,"c",$D$11+0.01)-Q25</f>
        <v>-8.452233138976134E-2</v>
      </c>
      <c r="R40" s="73" cm="1">
        <f t="array" aca="1" ref="R40" ca="1">[2]!HoadleyOptions2($C40,1,$D$5,R$20,$D$8,$D$9,R$22,$D$11+0.01,"c",$D$11+0.01)-R25</f>
        <v>-7.3811745810015233E-2</v>
      </c>
      <c r="S40" s="73" cm="1">
        <f t="array" aca="1" ref="S40" ca="1">[2]!HoadleyOptions2($C40,1,$D$5,S$20,$D$8,$D$9,S$22,$D$11+0.01,"c",$D$11+0.01)-S25</f>
        <v>-6.5568441640043704E-2</v>
      </c>
      <c r="T40" s="73" cm="1">
        <f t="array" aca="1" ref="T40" ca="1">[2]!HoadleyOptions2($C40,1,$D$5,T$20,$D$8,$D$9,T$22,$D$11+0.01,"c",$D$11+0.01)-T25</f>
        <v>-5.9060768022189035E-2</v>
      </c>
      <c r="U40" s="73" cm="1">
        <f t="array" aca="1" ref="U40" ca="1">[2]!HoadleyOptions2($C40,1,$D$5,U$20,$D$8,$D$9,U$22,$D$11+0.01,"c",$D$11+0.01)-U25</f>
        <v>-5.3812340845144746E-2</v>
      </c>
      <c r="V40" s="73" cm="1">
        <f t="array" aca="1" ref="V40" ca="1">[2]!HoadleyOptions2($C40,1,$D$5,V$20,$D$8,$D$9,V$22,$D$11+0.01,"c",$D$11+0.01)-V25</f>
        <v>-4.9501954990221544E-2</v>
      </c>
      <c r="W40" s="73" cm="1">
        <f t="array" aca="1" ref="W40" ca="1">[2]!HoadleyOptions2($C40,1,$D$5,W$20,$D$8,$D$9,W$22,$D$11+0.01,"c",$D$11+0.01)-W25</f>
        <v>-4.5906394241795927E-2</v>
      </c>
      <c r="X40" s="73" cm="1">
        <f t="array" aca="1" ref="X40" ca="1">[2]!HoadleyOptions2($C40,1,$D$5,X$20,$D$8,$D$9,X$22,$D$11+0.01,"c",$D$11+0.01)-X25</f>
        <v>-4.2866407688714997E-2</v>
      </c>
      <c r="Y40" s="73" cm="1">
        <f t="array" aca="1" ref="Y40" ca="1">[2]!HoadleyOptions2($C40,1,$D$5,Y$20,$D$8,$D$9,Y$22,$D$11+0.01,"c",$D$11+0.01)-Y25</f>
        <v>-4.0265734773138342E-2</v>
      </c>
      <c r="Z40" s="73" cm="1">
        <f t="array" aca="1" ref="Z40" ca="1">[2]!HoadleyOptions2($C40,1,$D$5,Z$20,$D$8,$D$9,Z$22,$D$11+0.01,"c",$D$11+0.01)-Z25</f>
        <v>-3.8017760886672615E-2</v>
      </c>
      <c r="AA40" s="73" cm="1">
        <f t="array" aca="1" ref="AA40" ca="1">[2]!HoadleyOptions2($C40,1,$D$5,AA$20,$D$8,$D$9,AA$22,$D$11+0.01,"c",$D$11+0.01)-AA25</f>
        <v>-3.6056786779633802E-2</v>
      </c>
      <c r="AB40" s="73" cm="1">
        <f t="array" aca="1" ref="AB40" ca="1">[2]!HoadleyOptions2($C40,1,$D$5,AB$20,$D$8,$D$9,AB$22,$D$11+0.01,"c",$D$11+0.01)-AB25</f>
        <v>-3.4332172273334398E-2</v>
      </c>
      <c r="AC40" s="73" cm="1">
        <f t="array" aca="1" ref="AC40" ca="1">[2]!HoadleyOptions2($C40,1,$D$5,AC$20,$D$8,$D$9,AC$22,$D$11+0.01,"c",$D$11+0.01)-AC25</f>
        <v>-3.2804319187236926E-2</v>
      </c>
      <c r="AD40" s="73" cm="1">
        <f t="array" aca="1" ref="AD40" ca="1">[2]!HoadleyOptions2($C40,1,$D$5,AD$20,$D$8,$D$9,AD$22,$D$11+0.01,"c",$D$11+0.01)-AD25</f>
        <v>-3.1441859851559367E-2</v>
      </c>
      <c r="AE40" s="73" cm="1">
        <f t="array" aca="1" ref="AE40" ca="1">[2]!HoadleyOptions2($C40,1,$D$5,AE$20,$D$8,$D$9,AE$22,$D$11+0.01,"c",$D$11+0.01)-AE25</f>
        <v>-3.0219653265649557E-2</v>
      </c>
      <c r="AF40" s="73" cm="1">
        <f t="array" aca="1" ref="AF40" ca="1">[2]!HoadleyOptions2($C40,1,$D$5,AF$20,$D$8,$D$9,AF$22,$D$11+0.01,"c",$D$11+0.01)-AF25</f>
        <v>-2.9117333109768075E-2</v>
      </c>
      <c r="AG40" s="73" cm="1">
        <f t="array" aca="1" ref="AG40" ca="1">[2]!HoadleyOptions2($C40,1,$D$5,AG$20,$D$8,$D$9,AG$22,$D$11+0.01,"c",$D$11+0.01)-AG25</f>
        <v>-2.811823967590792E-2</v>
      </c>
      <c r="AH40" s="73" cm="1">
        <f t="array" aca="1" ref="AH40" ca="1">[2]!HoadleyOptions2($C40,1,$D$5,AH$20,$D$8,$D$9,AH$22,$D$11+0.01,"c",$D$11+0.01)-AH25</f>
        <v>-2.7208623314953786E-2</v>
      </c>
      <c r="AI40" s="73" cm="1">
        <f t="array" aca="1" ref="AI40" ca="1">[2]!HoadleyOptions2($C40,1,$D$5,AI$20,$D$8,$D$9,AI$22,$D$11+0.01,"c",$D$11+0.01)-AI25</f>
        <v>-2.6377042823697728E-2</v>
      </c>
      <c r="AJ40" s="73" cm="1">
        <f t="array" aca="1" ref="AJ40" ca="1">[2]!HoadleyOptions2($C40,1,$D$5,AJ$20,$D$8,$D$9,AJ$22,$D$11+0.01,"c",$D$11+0.01)-AJ25</f>
        <v>-2.5613905747032626E-2</v>
      </c>
      <c r="AK40" s="73" cm="1">
        <f t="array" aca="1" ref="AK40" ca="1">[2]!HoadleyOptions2($C40,1,$D$5,AK$20,$D$8,$D$9,AK$22,$D$11+0.01,"c",$D$11+0.01)-AK25</f>
        <v>-2.4911113324529267E-2</v>
      </c>
      <c r="AL40" s="73" cm="1">
        <f t="array" aca="1" ref="AL40" ca="1">[2]!HoadleyOptions2($C40,1,$D$5,AL$20,$D$8,$D$9,AL$22,$D$11+0.01,"c",$D$11+0.01)-AL25</f>
        <v>-2.4261783518275754E-2</v>
      </c>
      <c r="AM40" s="73" cm="1">
        <f t="array" aca="1" ref="AM40" ca="1">[2]!HoadleyOptions2($C40,1,$D$5,AM$20,$D$8,$D$9,AM$22,$D$11+0.01,"c",$D$11+0.01)-AM25</f>
        <v>-2.3660032945342569E-2</v>
      </c>
      <c r="AN40" s="73" cm="1">
        <f t="array" aca="1" ref="AN40" ca="1">[2]!HoadleyOptions2($C40,1,$D$5,AN$20,$D$8,$D$9,AN$22,$D$11+0.01,"c",$D$11+0.01)-AN25</f>
        <v>-2.3100803704644471E-2</v>
      </c>
      <c r="AO40" s="73" cm="1">
        <f t="array" aca="1" ref="AO40" ca="1">[2]!HoadleyOptions2($C40,1,$D$5,AO$20,$D$8,$D$9,AO$22,$D$11+0.01,"c",$D$11+0.01)-AO25</f>
        <v>-2.2579724747783653E-2</v>
      </c>
      <c r="AP40" s="73" cm="1">
        <f t="array" aca="1" ref="AP40" ca="1">[2]!HoadleyOptions2($C40,1,$D$5,AP$20,$D$8,$D$9,AP$22,$D$11+0.01,"c",$D$11+0.01)-AP25</f>
        <v>-2.2093000067518746E-2</v>
      </c>
      <c r="AQ40" s="73" cm="1">
        <f t="array" aca="1" ref="AQ40" ca="1">[2]!HoadleyOptions2($C40,1,$D$5,AQ$20,$D$8,$D$9,AQ$22,$D$11+0.01,"c",$D$11+0.01)-AQ25</f>
        <v>-2.163731787996059E-2</v>
      </c>
      <c r="AR40" s="73" cm="1">
        <f t="array" aca="1" ref="AR40" ca="1">[2]!HoadleyOptions2($C40,1,$D$5,AR$20,$D$8,$D$9,AR$22,$D$11+0.01,"c",$D$11+0.01)-AR25</f>
        <v>-2.1209776370389479E-2</v>
      </c>
      <c r="AS40" s="73" cm="1">
        <f t="array" aca="1" ref="AS40" ca="1">[2]!HoadleyOptions2($C40,1,$D$5,AS$20,$D$8,$D$9,AS$22,$D$11+0.01,"c",$D$11+0.01)-AS25</f>
        <v>-2.0807822603863688E-2</v>
      </c>
      <c r="AT40" s="73" cm="1">
        <f t="array" aca="1" ref="AT40" ca="1">[2]!HoadleyOptions2($C40,1,$D$5,AT$20,$D$8,$D$9,AT$22,$D$11+0.01,"c",$D$11+0.01)-AT25</f>
        <v>-2.0429201971981101E-2</v>
      </c>
      <c r="AU40" s="73" cm="1">
        <f t="array" aca="1" ref="AU40" ca="1">[2]!HoadleyOptions2($C40,1,$D$5,AU$20,$D$8,$D$9,AU$22,$D$11+0.01,"c",$D$11+0.01)-AU25</f>
        <v>-2.0071916127125854E-2</v>
      </c>
      <c r="AV40" s="73" cm="1">
        <f t="array" aca="1" ref="AV40" ca="1">[2]!HoadleyOptions2($C40,1,$D$5,AV$20,$D$8,$D$9,AV$22,$D$11+0.01,"c",$D$11+0.01)-AV25</f>
        <v>-1.9734187796375906E-2</v>
      </c>
      <c r="AW40" s="73" cm="1">
        <f t="array" aca="1" ref="AW40" ca="1">[2]!HoadleyOptions2($C40,1,$D$5,AW$20,$D$8,$D$9,AW$22,$D$11+0.01,"c",$D$11+0.01)-AW25</f>
        <v>-1.9414431204235274E-2</v>
      </c>
      <c r="AX40" s="73" cm="1">
        <f t="array" aca="1" ref="AX40" ca="1">[2]!HoadleyOptions2($C40,1,$D$5,AX$20,$D$8,$D$9,AX$22,$D$11+0.01,"c",$D$11+0.01)-AX25</f>
        <v>-1.9111227093668161E-2</v>
      </c>
      <c r="AY40" s="73" cm="1">
        <f t="array" aca="1" ref="AY40" ca="1">[2]!HoadleyOptions2($C40,1,$D$5,AY$20,$D$8,$D$9,AY$22,$D$11+0.01,"c",$D$11+0.01)-AY25</f>
        <v>-1.882330153667092E-2</v>
      </c>
      <c r="AZ40" s="73" cm="1">
        <f t="array" aca="1" ref="AZ40" ca="1">[2]!HoadleyOptions2($C40,1,$D$5,AZ$20,$D$8,$D$9,AZ$22,$D$11+0.01,"c",$D$11+0.01)-AZ25</f>
        <v>-1.8549507883475223E-2</v>
      </c>
      <c r="BA40" s="73" cm="1">
        <f t="array" aca="1" ref="BA40" ca="1">[2]!HoadleyOptions2($C40,1,$D$5,BA$20,$D$8,$D$9,BA$22,$D$11+0.01,"c",$D$11+0.01)-BA25</f>
        <v>-1.8288811323694469E-2</v>
      </c>
      <c r="BB40" s="73" cm="1">
        <f t="array" aca="1" ref="BB40" ca="1">[2]!HoadleyOptions2($C40,1,$D$5,BB$20,$D$8,$D$9,BB$22,$D$11+0.01,"c",$D$11+0.01)-BB25</f>
        <v>-1.8040275630910017E-2</v>
      </c>
      <c r="BC40" s="73" cm="1">
        <f t="array" aca="1" ref="BC40" ca="1">[2]!HoadleyOptions2($C40,1,$D$5,BC$20,$D$8,$D$9,BC$22,$D$11+0.01,"c",$D$11+0.01)-BC25</f>
        <v>-1.780305174025331E-2</v>
      </c>
      <c r="BD40" s="73" cm="1">
        <f t="array" aca="1" ref="BD40" ca="1">[2]!HoadleyOptions2($C40,1,$D$5,BD$20,$D$8,$D$9,BD$22,$D$11+0.01,"c",$D$11+0.01)-BD25</f>
        <v>-1.7576367871328758E-2</v>
      </c>
      <c r="BE40" s="73" cm="1">
        <f t="array" aca="1" ref="BE40" ca="1">[2]!HoadleyOptions2($C40,1,$D$5,BE$20,$D$8,$D$9,BE$22,$D$11+0.01,"c",$D$11+0.01)-BE25</f>
        <v>-1.7359520958869123E-2</v>
      </c>
      <c r="BF40" s="73" cm="1">
        <f t="array" aca="1" ref="BF40" ca="1">[2]!HoadleyOptions2($C40,1,$D$5,BF$20,$D$8,$D$9,BF$22,$D$11+0.01,"c",$D$11+0.01)-BF25</f>
        <v>-1.7151869194368709E-2</v>
      </c>
      <c r="BG40" s="73" cm="1">
        <f t="array" aca="1" ref="BG40" ca="1">[2]!HoadleyOptions2($C40,1,$D$5,BG$20,$D$8,$D$9,BG$22,$D$11+0.01,"c",$D$11+0.01)-BG25</f>
        <v>-1.6952825514802074E-2</v>
      </c>
      <c r="BH40" s="73" cm="1">
        <f t="array" aca="1" ref="BH40" ca="1">[2]!HoadleyOptions2($C40,1,$D$5,BH$20,$D$8,$D$9,BH$22,$D$11+0.01,"c",$D$11+0.01)-BH25</f>
        <v>-1.676185190162453E-2</v>
      </c>
      <c r="BI40" s="73" cm="1">
        <f t="array" aca="1" ref="BI40" ca="1">[2]!HoadleyOptions2($C40,1,$D$5,BI$20,$D$8,$D$9,BI$22,$D$11+0.01,"c",$D$11+0.01)-BI25</f>
        <v>-1.6578454375176677E-2</v>
      </c>
      <c r="BJ40" s="73" cm="1">
        <f t="array" aca="1" ref="BJ40" ca="1">[2]!HoadleyOptions2($C40,1,$D$5,BJ$20,$D$8,$D$9,BJ$22,$D$11+0.01,"c",$D$11+0.01)-BJ25</f>
        <v>-1.6402178587924737E-2</v>
      </c>
      <c r="BK40" s="73" cm="1">
        <f t="array" aca="1" ref="BK40" ca="1">[2]!HoadleyOptions2($C40,1,$D$5,BK$20,$D$8,$D$9,BK$22,$D$11+0.01,"c",$D$11+0.01)-BK25</f>
        <v>-1.6232605934762386E-2</v>
      </c>
      <c r="BL40" s="73" cm="1">
        <f t="array" aca="1" ref="BL40" ca="1">[2]!HoadleyOptions2($C40,1,$D$5,BL$20,$D$8,$D$9,BL$22,$D$11+0.01,"c",$D$11+0.01)-BL25</f>
        <v>-1.6069350111318645E-2</v>
      </c>
      <c r="BM40" s="73" cm="1">
        <f t="array" aca="1" ref="BM40" ca="1">[2]!HoadleyOptions2($C40,1,$D$5,BM$20,$D$8,$D$9,BM$22,$D$11+0.01,"c",$D$11+0.01)-BM25</f>
        <v>-1.5912054061304786E-2</v>
      </c>
      <c r="BN40" s="73" cm="1">
        <f t="array" aca="1" ref="BN40" ca="1">[2]!HoadleyOptions2($C40,1,$D$5,BN$20,$D$8,$D$9,BN$22,$D$11+0.01,"c",$D$11+0.01)-BN25</f>
        <v>-1.5760387262709806E-2</v>
      </c>
      <c r="BO40" s="73" cm="1">
        <f t="array" aca="1" ref="BO40" ca="1">[2]!HoadleyOptions2($C40,1,$D$5,BO$20,$D$8,$D$9,BO$22,$D$11+0.01,"c",$D$11+0.01)-BO25</f>
        <v>-1.5614043309914713E-2</v>
      </c>
      <c r="BP40" s="73" cm="1">
        <f t="array" aca="1" ref="BP40" ca="1">[2]!HoadleyOptions2($C40,1,$D$5,BP$20,$D$8,$D$9,BP$22,$D$11+0.01,"c",$D$11+0.01)-BP25</f>
        <v>-1.5472737754880167E-2</v>
      </c>
      <c r="BQ40" s="73" cm="1">
        <f t="array" aca="1" ref="BQ40" ca="1">[2]!HoadleyOptions2($C40,1,$D$5,BQ$20,$D$8,$D$9,BQ$22,$D$11+0.01,"c",$D$11+0.01)-BQ25</f>
        <v>-1.5336206175591002E-2</v>
      </c>
      <c r="BR40" s="73" cm="1">
        <f t="array" aca="1" ref="BR40" ca="1">[2]!HoadleyOptions2($C40,1,$D$5,BR$20,$D$8,$D$9,BR$22,$D$11+0.01,"c",$D$11+0.01)-BR25</f>
        <v>-1.5204202444498756E-2</v>
      </c>
      <c r="BS40" s="73" cm="1">
        <f t="array" aca="1" ref="BS40" ca="1">[2]!HoadleyOptions2($C40,1,$D$5,BS$20,$D$8,$D$9,BS$22,$D$11+0.01,"c",$D$11+0.01)-BS25</f>
        <v>-1.5076497173235967E-2</v>
      </c>
      <c r="BT40" s="73" cm="1">
        <f t="array" aca="1" ref="BT40" ca="1">[2]!HoadleyOptions2($C40,1,$D$5,BT$20,$D$8,$D$9,BT$22,$D$11+0.01,"c",$D$11+0.01)-BT25</f>
        <v>-1.4952876313014065E-2</v>
      </c>
    </row>
    <row r="42" spans="2:72" x14ac:dyDescent="0.25">
      <c r="F42" s="75"/>
      <c r="G42" s="78"/>
      <c r="H42" s="78"/>
      <c r="I42" s="78"/>
      <c r="J42" s="78"/>
      <c r="K42" s="78"/>
      <c r="L42" s="78"/>
      <c r="M42" s="78"/>
      <c r="N42" s="78"/>
      <c r="O42" s="78"/>
      <c r="P42" s="78"/>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8"/>
      <c r="BO42" s="78"/>
      <c r="BP42" s="78"/>
      <c r="BQ42" s="78"/>
      <c r="BR42" s="78"/>
      <c r="BS42" s="78"/>
      <c r="BT42" s="78"/>
    </row>
    <row r="43" spans="2:72" x14ac:dyDescent="0.25">
      <c r="F43" s="75"/>
    </row>
    <row r="44" spans="2:72" x14ac:dyDescent="0.25">
      <c r="F44" s="75"/>
    </row>
    <row r="45" spans="2:72" x14ac:dyDescent="0.25">
      <c r="F45" s="75"/>
    </row>
    <row r="46" spans="2:72" x14ac:dyDescent="0.25">
      <c r="F46" s="75"/>
    </row>
    <row r="47" spans="2:72" x14ac:dyDescent="0.25">
      <c r="F47" s="75"/>
    </row>
    <row r="48" spans="2:72" x14ac:dyDescent="0.25">
      <c r="F48" s="75"/>
    </row>
    <row r="49" spans="6:72" x14ac:dyDescent="0.25">
      <c r="F49" s="75"/>
    </row>
    <row r="50" spans="6:72" x14ac:dyDescent="0.25">
      <c r="F50" s="75"/>
      <c r="G50" s="78"/>
      <c r="H50" s="78"/>
      <c r="I50" s="78"/>
      <c r="J50" s="78"/>
      <c r="K50" s="78"/>
      <c r="L50" s="78"/>
      <c r="M50" s="78"/>
      <c r="N50" s="78"/>
      <c r="O50" s="78"/>
      <c r="P50" s="78"/>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8"/>
      <c r="BO50" s="78"/>
      <c r="BP50" s="78"/>
      <c r="BQ50" s="78"/>
      <c r="BR50" s="78"/>
      <c r="BS50" s="78"/>
      <c r="BT50" s="78"/>
    </row>
    <row r="51" spans="6:72" x14ac:dyDescent="0.25">
      <c r="F51" s="75"/>
    </row>
    <row r="52" spans="6:72" x14ac:dyDescent="0.25">
      <c r="F52" s="75"/>
    </row>
    <row r="53" spans="6:72" x14ac:dyDescent="0.25">
      <c r="F53" s="75"/>
    </row>
    <row r="54" spans="6:72" x14ac:dyDescent="0.25">
      <c r="F54" s="75"/>
      <c r="M54" s="176"/>
    </row>
    <row r="55" spans="6:72" x14ac:dyDescent="0.25">
      <c r="F55" s="75"/>
    </row>
    <row r="56" spans="6:72" x14ac:dyDescent="0.25">
      <c r="F56" s="75"/>
    </row>
    <row r="57" spans="6:72" x14ac:dyDescent="0.25">
      <c r="F57" s="75"/>
    </row>
    <row r="58" spans="6:72" x14ac:dyDescent="0.25">
      <c r="F58" s="75"/>
    </row>
    <row r="59" spans="6:72" x14ac:dyDescent="0.25">
      <c r="F59" s="75"/>
    </row>
    <row r="60" spans="6:72" x14ac:dyDescent="0.25">
      <c r="F60" s="75"/>
    </row>
    <row r="61" spans="6:72" x14ac:dyDescent="0.25">
      <c r="F61" s="75"/>
    </row>
    <row r="62" spans="6:72" x14ac:dyDescent="0.25">
      <c r="F62" s="75"/>
    </row>
    <row r="63" spans="6:72" x14ac:dyDescent="0.25">
      <c r="F63" s="75"/>
    </row>
    <row r="64" spans="6:72" ht="13" x14ac:dyDescent="0.3">
      <c r="F64" s="54"/>
    </row>
    <row r="126" spans="2:2" x14ac:dyDescent="0.25">
      <c r="B126" s="5" t="s">
        <v>38</v>
      </c>
    </row>
    <row r="127" spans="2:2" x14ac:dyDescent="0.25">
      <c r="B127" s="5" t="s">
        <v>45</v>
      </c>
    </row>
    <row r="128" spans="2:2" x14ac:dyDescent="0.25">
      <c r="B128" s="5" t="s">
        <v>39</v>
      </c>
    </row>
    <row r="129" spans="2:2" x14ac:dyDescent="0.25">
      <c r="B129" s="5" t="s">
        <v>5</v>
      </c>
    </row>
  </sheetData>
  <dataValidations disablePrompts="1" count="2">
    <dataValidation type="list" allowBlank="1" showInputMessage="1" showErrorMessage="1" sqref="D6: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D65541:E65541 JA65541 SW65541 ACS65541 AMO65541 AWK65541 BGG65541 BQC65541 BZY65541 CJU65541 CTQ65541 DDM65541 DNI65541 DXE65541 EHA65541 EQW65541 FAS65541 FKO65541 FUK65541 GEG65541 GOC65541 GXY65541 HHU65541 HRQ65541 IBM65541 ILI65541 IVE65541 JFA65541 JOW65541 JYS65541 KIO65541 KSK65541 LCG65541 LMC65541 LVY65541 MFU65541 MPQ65541 MZM65541 NJI65541 NTE65541 ODA65541 OMW65541 OWS65541 PGO65541 PQK65541 QAG65541 QKC65541 QTY65541 RDU65541 RNQ65541 RXM65541 SHI65541 SRE65541 TBA65541 TKW65541 TUS65541 UEO65541 UOK65541 UYG65541 VIC65541 VRY65541 WBU65541 WLQ65541 WVM65541 D131077:E131077 JA131077 SW131077 ACS131077 AMO131077 AWK131077 BGG131077 BQC131077 BZY131077 CJU131077 CTQ131077 DDM131077 DNI131077 DXE131077 EHA131077 EQW131077 FAS131077 FKO131077 FUK131077 GEG131077 GOC131077 GXY131077 HHU131077 HRQ131077 IBM131077 ILI131077 IVE131077 JFA131077 JOW131077 JYS131077 KIO131077 KSK131077 LCG131077 LMC131077 LVY131077 MFU131077 MPQ131077 MZM131077 NJI131077 NTE131077 ODA131077 OMW131077 OWS131077 PGO131077 PQK131077 QAG131077 QKC131077 QTY131077 RDU131077 RNQ131077 RXM131077 SHI131077 SRE131077 TBA131077 TKW131077 TUS131077 UEO131077 UOK131077 UYG131077 VIC131077 VRY131077 WBU131077 WLQ131077 WVM131077 D196613:E196613 JA196613 SW196613 ACS196613 AMO196613 AWK196613 BGG196613 BQC196613 BZY196613 CJU196613 CTQ196613 DDM196613 DNI196613 DXE196613 EHA196613 EQW196613 FAS196613 FKO196613 FUK196613 GEG196613 GOC196613 GXY196613 HHU196613 HRQ196613 IBM196613 ILI196613 IVE196613 JFA196613 JOW196613 JYS196613 KIO196613 KSK196613 LCG196613 LMC196613 LVY196613 MFU196613 MPQ196613 MZM196613 NJI196613 NTE196613 ODA196613 OMW196613 OWS196613 PGO196613 PQK196613 QAG196613 QKC196613 QTY196613 RDU196613 RNQ196613 RXM196613 SHI196613 SRE196613 TBA196613 TKW196613 TUS196613 UEO196613 UOK196613 UYG196613 VIC196613 VRY196613 WBU196613 WLQ196613 WVM196613 D262149:E262149 JA262149 SW262149 ACS262149 AMO262149 AWK262149 BGG262149 BQC262149 BZY262149 CJU262149 CTQ262149 DDM262149 DNI262149 DXE262149 EHA262149 EQW262149 FAS262149 FKO262149 FUK262149 GEG262149 GOC262149 GXY262149 HHU262149 HRQ262149 IBM262149 ILI262149 IVE262149 JFA262149 JOW262149 JYS262149 KIO262149 KSK262149 LCG262149 LMC262149 LVY262149 MFU262149 MPQ262149 MZM262149 NJI262149 NTE262149 ODA262149 OMW262149 OWS262149 PGO262149 PQK262149 QAG262149 QKC262149 QTY262149 RDU262149 RNQ262149 RXM262149 SHI262149 SRE262149 TBA262149 TKW262149 TUS262149 UEO262149 UOK262149 UYG262149 VIC262149 VRY262149 WBU262149 WLQ262149 WVM262149 D327685:E327685 JA327685 SW327685 ACS327685 AMO327685 AWK327685 BGG327685 BQC327685 BZY327685 CJU327685 CTQ327685 DDM327685 DNI327685 DXE327685 EHA327685 EQW327685 FAS327685 FKO327685 FUK327685 GEG327685 GOC327685 GXY327685 HHU327685 HRQ327685 IBM327685 ILI327685 IVE327685 JFA327685 JOW327685 JYS327685 KIO327685 KSK327685 LCG327685 LMC327685 LVY327685 MFU327685 MPQ327685 MZM327685 NJI327685 NTE327685 ODA327685 OMW327685 OWS327685 PGO327685 PQK327685 QAG327685 QKC327685 QTY327685 RDU327685 RNQ327685 RXM327685 SHI327685 SRE327685 TBA327685 TKW327685 TUS327685 UEO327685 UOK327685 UYG327685 VIC327685 VRY327685 WBU327685 WLQ327685 WVM327685 D393221:E393221 JA393221 SW393221 ACS393221 AMO393221 AWK393221 BGG393221 BQC393221 BZY393221 CJU393221 CTQ393221 DDM393221 DNI393221 DXE393221 EHA393221 EQW393221 FAS393221 FKO393221 FUK393221 GEG393221 GOC393221 GXY393221 HHU393221 HRQ393221 IBM393221 ILI393221 IVE393221 JFA393221 JOW393221 JYS393221 KIO393221 KSK393221 LCG393221 LMC393221 LVY393221 MFU393221 MPQ393221 MZM393221 NJI393221 NTE393221 ODA393221 OMW393221 OWS393221 PGO393221 PQK393221 QAG393221 QKC393221 QTY393221 RDU393221 RNQ393221 RXM393221 SHI393221 SRE393221 TBA393221 TKW393221 TUS393221 UEO393221 UOK393221 UYG393221 VIC393221 VRY393221 WBU393221 WLQ393221 WVM393221 D458757:E458757 JA458757 SW458757 ACS458757 AMO458757 AWK458757 BGG458757 BQC458757 BZY458757 CJU458757 CTQ458757 DDM458757 DNI458757 DXE458757 EHA458757 EQW458757 FAS458757 FKO458757 FUK458757 GEG458757 GOC458757 GXY458757 HHU458757 HRQ458757 IBM458757 ILI458757 IVE458757 JFA458757 JOW458757 JYS458757 KIO458757 KSK458757 LCG458757 LMC458757 LVY458757 MFU458757 MPQ458757 MZM458757 NJI458757 NTE458757 ODA458757 OMW458757 OWS458757 PGO458757 PQK458757 QAG458757 QKC458757 QTY458757 RDU458757 RNQ458757 RXM458757 SHI458757 SRE458757 TBA458757 TKW458757 TUS458757 UEO458757 UOK458757 UYG458757 VIC458757 VRY458757 WBU458757 WLQ458757 WVM458757 D524293:E524293 JA524293 SW524293 ACS524293 AMO524293 AWK524293 BGG524293 BQC524293 BZY524293 CJU524293 CTQ524293 DDM524293 DNI524293 DXE524293 EHA524293 EQW524293 FAS524293 FKO524293 FUK524293 GEG524293 GOC524293 GXY524293 HHU524293 HRQ524293 IBM524293 ILI524293 IVE524293 JFA524293 JOW524293 JYS524293 KIO524293 KSK524293 LCG524293 LMC524293 LVY524293 MFU524293 MPQ524293 MZM524293 NJI524293 NTE524293 ODA524293 OMW524293 OWS524293 PGO524293 PQK524293 QAG524293 QKC524293 QTY524293 RDU524293 RNQ524293 RXM524293 SHI524293 SRE524293 TBA524293 TKW524293 TUS524293 UEO524293 UOK524293 UYG524293 VIC524293 VRY524293 WBU524293 WLQ524293 WVM524293 D589829:E589829 JA589829 SW589829 ACS589829 AMO589829 AWK589829 BGG589829 BQC589829 BZY589829 CJU589829 CTQ589829 DDM589829 DNI589829 DXE589829 EHA589829 EQW589829 FAS589829 FKO589829 FUK589829 GEG589829 GOC589829 GXY589829 HHU589829 HRQ589829 IBM589829 ILI589829 IVE589829 JFA589829 JOW589829 JYS589829 KIO589829 KSK589829 LCG589829 LMC589829 LVY589829 MFU589829 MPQ589829 MZM589829 NJI589829 NTE589829 ODA589829 OMW589829 OWS589829 PGO589829 PQK589829 QAG589829 QKC589829 QTY589829 RDU589829 RNQ589829 RXM589829 SHI589829 SRE589829 TBA589829 TKW589829 TUS589829 UEO589829 UOK589829 UYG589829 VIC589829 VRY589829 WBU589829 WLQ589829 WVM589829 D655365:E655365 JA655365 SW655365 ACS655365 AMO655365 AWK655365 BGG655365 BQC655365 BZY655365 CJU655365 CTQ655365 DDM655365 DNI655365 DXE655365 EHA655365 EQW655365 FAS655365 FKO655365 FUK655365 GEG655365 GOC655365 GXY655365 HHU655365 HRQ655365 IBM655365 ILI655365 IVE655365 JFA655365 JOW655365 JYS655365 KIO655365 KSK655365 LCG655365 LMC655365 LVY655365 MFU655365 MPQ655365 MZM655365 NJI655365 NTE655365 ODA655365 OMW655365 OWS655365 PGO655365 PQK655365 QAG655365 QKC655365 QTY655365 RDU655365 RNQ655365 RXM655365 SHI655365 SRE655365 TBA655365 TKW655365 TUS655365 UEO655365 UOK655365 UYG655365 VIC655365 VRY655365 WBU655365 WLQ655365 WVM655365 D720901:E720901 JA720901 SW720901 ACS720901 AMO720901 AWK720901 BGG720901 BQC720901 BZY720901 CJU720901 CTQ720901 DDM720901 DNI720901 DXE720901 EHA720901 EQW720901 FAS720901 FKO720901 FUK720901 GEG720901 GOC720901 GXY720901 HHU720901 HRQ720901 IBM720901 ILI720901 IVE720901 JFA720901 JOW720901 JYS720901 KIO720901 KSK720901 LCG720901 LMC720901 LVY720901 MFU720901 MPQ720901 MZM720901 NJI720901 NTE720901 ODA720901 OMW720901 OWS720901 PGO720901 PQK720901 QAG720901 QKC720901 QTY720901 RDU720901 RNQ720901 RXM720901 SHI720901 SRE720901 TBA720901 TKW720901 TUS720901 UEO720901 UOK720901 UYG720901 VIC720901 VRY720901 WBU720901 WLQ720901 WVM720901 D786437:E786437 JA786437 SW786437 ACS786437 AMO786437 AWK786437 BGG786437 BQC786437 BZY786437 CJU786437 CTQ786437 DDM786437 DNI786437 DXE786437 EHA786437 EQW786437 FAS786437 FKO786437 FUK786437 GEG786437 GOC786437 GXY786437 HHU786437 HRQ786437 IBM786437 ILI786437 IVE786437 JFA786437 JOW786437 JYS786437 KIO786437 KSK786437 LCG786437 LMC786437 LVY786437 MFU786437 MPQ786437 MZM786437 NJI786437 NTE786437 ODA786437 OMW786437 OWS786437 PGO786437 PQK786437 QAG786437 QKC786437 QTY786437 RDU786437 RNQ786437 RXM786437 SHI786437 SRE786437 TBA786437 TKW786437 TUS786437 UEO786437 UOK786437 UYG786437 VIC786437 VRY786437 WBU786437 WLQ786437 WVM786437 D851973:E851973 JA851973 SW851973 ACS851973 AMO851973 AWK851973 BGG851973 BQC851973 BZY851973 CJU851973 CTQ851973 DDM851973 DNI851973 DXE851973 EHA851973 EQW851973 FAS851973 FKO851973 FUK851973 GEG851973 GOC851973 GXY851973 HHU851973 HRQ851973 IBM851973 ILI851973 IVE851973 JFA851973 JOW851973 JYS851973 KIO851973 KSK851973 LCG851973 LMC851973 LVY851973 MFU851973 MPQ851973 MZM851973 NJI851973 NTE851973 ODA851973 OMW851973 OWS851973 PGO851973 PQK851973 QAG851973 QKC851973 QTY851973 RDU851973 RNQ851973 RXM851973 SHI851973 SRE851973 TBA851973 TKW851973 TUS851973 UEO851973 UOK851973 UYG851973 VIC851973 VRY851973 WBU851973 WLQ851973 WVM851973 D917509:E917509 JA917509 SW917509 ACS917509 AMO917509 AWK917509 BGG917509 BQC917509 BZY917509 CJU917509 CTQ917509 DDM917509 DNI917509 DXE917509 EHA917509 EQW917509 FAS917509 FKO917509 FUK917509 GEG917509 GOC917509 GXY917509 HHU917509 HRQ917509 IBM917509 ILI917509 IVE917509 JFA917509 JOW917509 JYS917509 KIO917509 KSK917509 LCG917509 LMC917509 LVY917509 MFU917509 MPQ917509 MZM917509 NJI917509 NTE917509 ODA917509 OMW917509 OWS917509 PGO917509 PQK917509 QAG917509 QKC917509 QTY917509 RDU917509 RNQ917509 RXM917509 SHI917509 SRE917509 TBA917509 TKW917509 TUS917509 UEO917509 UOK917509 UYG917509 VIC917509 VRY917509 WBU917509 WLQ917509 WVM917509 D983045:E983045 JA983045 SW983045 ACS983045 AMO983045 AWK983045 BGG983045 BQC983045 BZY983045 CJU983045 CTQ983045 DDM983045 DNI983045 DXE983045 EHA983045 EQW983045 FAS983045 FKO983045 FUK983045 GEG983045 GOC983045 GXY983045 HHU983045 HRQ983045 IBM983045 ILI983045 IVE983045 JFA983045 JOW983045 JYS983045 KIO983045 KSK983045 LCG983045 LMC983045 LVY983045 MFU983045 MPQ983045 MZM983045 NJI983045 NTE983045 ODA983045 OMW983045 OWS983045 PGO983045 PQK983045 QAG983045 QKC983045 QTY983045 RDU983045 RNQ983045 RXM983045 SHI983045 SRE983045 TBA983045 TKW983045 TUS983045 UEO983045 UOK983045 UYG983045 VIC983045 VRY983045 WBU983045 WLQ983045 WVM983045" xr:uid="{F322FDAB-D62D-4A5A-859F-1CADC67003FE}">
      <formula1>$B$128:$B$129</formula1>
    </dataValidation>
    <dataValidation type="list" allowBlank="1" showInputMessage="1" showErrorMessage="1" sqref="D5: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D65540:E65540 JA65540 SW65540 ACS65540 AMO65540 AWK65540 BGG65540 BQC65540 BZY65540 CJU65540 CTQ65540 DDM65540 DNI65540 DXE65540 EHA65540 EQW65540 FAS65540 FKO65540 FUK65540 GEG65540 GOC65540 GXY65540 HHU65540 HRQ65540 IBM65540 ILI65540 IVE65540 JFA65540 JOW65540 JYS65540 KIO65540 KSK65540 LCG65540 LMC65540 LVY65540 MFU65540 MPQ65540 MZM65540 NJI65540 NTE65540 ODA65540 OMW65540 OWS65540 PGO65540 PQK65540 QAG65540 QKC65540 QTY65540 RDU65540 RNQ65540 RXM65540 SHI65540 SRE65540 TBA65540 TKW65540 TUS65540 UEO65540 UOK65540 UYG65540 VIC65540 VRY65540 WBU65540 WLQ65540 WVM65540 D131076:E131076 JA131076 SW131076 ACS131076 AMO131076 AWK131076 BGG131076 BQC131076 BZY131076 CJU131076 CTQ131076 DDM131076 DNI131076 DXE131076 EHA131076 EQW131076 FAS131076 FKO131076 FUK131076 GEG131076 GOC131076 GXY131076 HHU131076 HRQ131076 IBM131076 ILI131076 IVE131076 JFA131076 JOW131076 JYS131076 KIO131076 KSK131076 LCG131076 LMC131076 LVY131076 MFU131076 MPQ131076 MZM131076 NJI131076 NTE131076 ODA131076 OMW131076 OWS131076 PGO131076 PQK131076 QAG131076 QKC131076 QTY131076 RDU131076 RNQ131076 RXM131076 SHI131076 SRE131076 TBA131076 TKW131076 TUS131076 UEO131076 UOK131076 UYG131076 VIC131076 VRY131076 WBU131076 WLQ131076 WVM131076 D196612:E196612 JA196612 SW196612 ACS196612 AMO196612 AWK196612 BGG196612 BQC196612 BZY196612 CJU196612 CTQ196612 DDM196612 DNI196612 DXE196612 EHA196612 EQW196612 FAS196612 FKO196612 FUK196612 GEG196612 GOC196612 GXY196612 HHU196612 HRQ196612 IBM196612 ILI196612 IVE196612 JFA196612 JOW196612 JYS196612 KIO196612 KSK196612 LCG196612 LMC196612 LVY196612 MFU196612 MPQ196612 MZM196612 NJI196612 NTE196612 ODA196612 OMW196612 OWS196612 PGO196612 PQK196612 QAG196612 QKC196612 QTY196612 RDU196612 RNQ196612 RXM196612 SHI196612 SRE196612 TBA196612 TKW196612 TUS196612 UEO196612 UOK196612 UYG196612 VIC196612 VRY196612 WBU196612 WLQ196612 WVM196612 D262148:E262148 JA262148 SW262148 ACS262148 AMO262148 AWK262148 BGG262148 BQC262148 BZY262148 CJU262148 CTQ262148 DDM262148 DNI262148 DXE262148 EHA262148 EQW262148 FAS262148 FKO262148 FUK262148 GEG262148 GOC262148 GXY262148 HHU262148 HRQ262148 IBM262148 ILI262148 IVE262148 JFA262148 JOW262148 JYS262148 KIO262148 KSK262148 LCG262148 LMC262148 LVY262148 MFU262148 MPQ262148 MZM262148 NJI262148 NTE262148 ODA262148 OMW262148 OWS262148 PGO262148 PQK262148 QAG262148 QKC262148 QTY262148 RDU262148 RNQ262148 RXM262148 SHI262148 SRE262148 TBA262148 TKW262148 TUS262148 UEO262148 UOK262148 UYG262148 VIC262148 VRY262148 WBU262148 WLQ262148 WVM262148 D327684:E327684 JA327684 SW327684 ACS327684 AMO327684 AWK327684 BGG327684 BQC327684 BZY327684 CJU327684 CTQ327684 DDM327684 DNI327684 DXE327684 EHA327684 EQW327684 FAS327684 FKO327684 FUK327684 GEG327684 GOC327684 GXY327684 HHU327684 HRQ327684 IBM327684 ILI327684 IVE327684 JFA327684 JOW327684 JYS327684 KIO327684 KSK327684 LCG327684 LMC327684 LVY327684 MFU327684 MPQ327684 MZM327684 NJI327684 NTE327684 ODA327684 OMW327684 OWS327684 PGO327684 PQK327684 QAG327684 QKC327684 QTY327684 RDU327684 RNQ327684 RXM327684 SHI327684 SRE327684 TBA327684 TKW327684 TUS327684 UEO327684 UOK327684 UYG327684 VIC327684 VRY327684 WBU327684 WLQ327684 WVM327684 D393220:E393220 JA393220 SW393220 ACS393220 AMO393220 AWK393220 BGG393220 BQC393220 BZY393220 CJU393220 CTQ393220 DDM393220 DNI393220 DXE393220 EHA393220 EQW393220 FAS393220 FKO393220 FUK393220 GEG393220 GOC393220 GXY393220 HHU393220 HRQ393220 IBM393220 ILI393220 IVE393220 JFA393220 JOW393220 JYS393220 KIO393220 KSK393220 LCG393220 LMC393220 LVY393220 MFU393220 MPQ393220 MZM393220 NJI393220 NTE393220 ODA393220 OMW393220 OWS393220 PGO393220 PQK393220 QAG393220 QKC393220 QTY393220 RDU393220 RNQ393220 RXM393220 SHI393220 SRE393220 TBA393220 TKW393220 TUS393220 UEO393220 UOK393220 UYG393220 VIC393220 VRY393220 WBU393220 WLQ393220 WVM393220 D458756:E458756 JA458756 SW458756 ACS458756 AMO458756 AWK458756 BGG458756 BQC458756 BZY458756 CJU458756 CTQ458756 DDM458756 DNI458756 DXE458756 EHA458756 EQW458756 FAS458756 FKO458756 FUK458756 GEG458756 GOC458756 GXY458756 HHU458756 HRQ458756 IBM458756 ILI458756 IVE458756 JFA458756 JOW458756 JYS458756 KIO458756 KSK458756 LCG458756 LMC458756 LVY458756 MFU458756 MPQ458756 MZM458756 NJI458756 NTE458756 ODA458756 OMW458756 OWS458756 PGO458756 PQK458756 QAG458756 QKC458756 QTY458756 RDU458756 RNQ458756 RXM458756 SHI458756 SRE458756 TBA458756 TKW458756 TUS458756 UEO458756 UOK458756 UYG458756 VIC458756 VRY458756 WBU458756 WLQ458756 WVM458756 D524292:E524292 JA524292 SW524292 ACS524292 AMO524292 AWK524292 BGG524292 BQC524292 BZY524292 CJU524292 CTQ524292 DDM524292 DNI524292 DXE524292 EHA524292 EQW524292 FAS524292 FKO524292 FUK524292 GEG524292 GOC524292 GXY524292 HHU524292 HRQ524292 IBM524292 ILI524292 IVE524292 JFA524292 JOW524292 JYS524292 KIO524292 KSK524292 LCG524292 LMC524292 LVY524292 MFU524292 MPQ524292 MZM524292 NJI524292 NTE524292 ODA524292 OMW524292 OWS524292 PGO524292 PQK524292 QAG524292 QKC524292 QTY524292 RDU524292 RNQ524292 RXM524292 SHI524292 SRE524292 TBA524292 TKW524292 TUS524292 UEO524292 UOK524292 UYG524292 VIC524292 VRY524292 WBU524292 WLQ524292 WVM524292 D589828:E589828 JA589828 SW589828 ACS589828 AMO589828 AWK589828 BGG589828 BQC589828 BZY589828 CJU589828 CTQ589828 DDM589828 DNI589828 DXE589828 EHA589828 EQW589828 FAS589828 FKO589828 FUK589828 GEG589828 GOC589828 GXY589828 HHU589828 HRQ589828 IBM589828 ILI589828 IVE589828 JFA589828 JOW589828 JYS589828 KIO589828 KSK589828 LCG589828 LMC589828 LVY589828 MFU589828 MPQ589828 MZM589828 NJI589828 NTE589828 ODA589828 OMW589828 OWS589828 PGO589828 PQK589828 QAG589828 QKC589828 QTY589828 RDU589828 RNQ589828 RXM589828 SHI589828 SRE589828 TBA589828 TKW589828 TUS589828 UEO589828 UOK589828 UYG589828 VIC589828 VRY589828 WBU589828 WLQ589828 WVM589828 D655364:E655364 JA655364 SW655364 ACS655364 AMO655364 AWK655364 BGG655364 BQC655364 BZY655364 CJU655364 CTQ655364 DDM655364 DNI655364 DXE655364 EHA655364 EQW655364 FAS655364 FKO655364 FUK655364 GEG655364 GOC655364 GXY655364 HHU655364 HRQ655364 IBM655364 ILI655364 IVE655364 JFA655364 JOW655364 JYS655364 KIO655364 KSK655364 LCG655364 LMC655364 LVY655364 MFU655364 MPQ655364 MZM655364 NJI655364 NTE655364 ODA655364 OMW655364 OWS655364 PGO655364 PQK655364 QAG655364 QKC655364 QTY655364 RDU655364 RNQ655364 RXM655364 SHI655364 SRE655364 TBA655364 TKW655364 TUS655364 UEO655364 UOK655364 UYG655364 VIC655364 VRY655364 WBU655364 WLQ655364 WVM655364 D720900:E720900 JA720900 SW720900 ACS720900 AMO720900 AWK720900 BGG720900 BQC720900 BZY720900 CJU720900 CTQ720900 DDM720900 DNI720900 DXE720900 EHA720900 EQW720900 FAS720900 FKO720900 FUK720900 GEG720900 GOC720900 GXY720900 HHU720900 HRQ720900 IBM720900 ILI720900 IVE720900 JFA720900 JOW720900 JYS720900 KIO720900 KSK720900 LCG720900 LMC720900 LVY720900 MFU720900 MPQ720900 MZM720900 NJI720900 NTE720900 ODA720900 OMW720900 OWS720900 PGO720900 PQK720900 QAG720900 QKC720900 QTY720900 RDU720900 RNQ720900 RXM720900 SHI720900 SRE720900 TBA720900 TKW720900 TUS720900 UEO720900 UOK720900 UYG720900 VIC720900 VRY720900 WBU720900 WLQ720900 WVM720900 D786436:E786436 JA786436 SW786436 ACS786436 AMO786436 AWK786436 BGG786436 BQC786436 BZY786436 CJU786436 CTQ786436 DDM786436 DNI786436 DXE786436 EHA786436 EQW786436 FAS786436 FKO786436 FUK786436 GEG786436 GOC786436 GXY786436 HHU786436 HRQ786436 IBM786436 ILI786436 IVE786436 JFA786436 JOW786436 JYS786436 KIO786436 KSK786436 LCG786436 LMC786436 LVY786436 MFU786436 MPQ786436 MZM786436 NJI786436 NTE786436 ODA786436 OMW786436 OWS786436 PGO786436 PQK786436 QAG786436 QKC786436 QTY786436 RDU786436 RNQ786436 RXM786436 SHI786436 SRE786436 TBA786436 TKW786436 TUS786436 UEO786436 UOK786436 UYG786436 VIC786436 VRY786436 WBU786436 WLQ786436 WVM786436 D851972:E851972 JA851972 SW851972 ACS851972 AMO851972 AWK851972 BGG851972 BQC851972 BZY851972 CJU851972 CTQ851972 DDM851972 DNI851972 DXE851972 EHA851972 EQW851972 FAS851972 FKO851972 FUK851972 GEG851972 GOC851972 GXY851972 HHU851972 HRQ851972 IBM851972 ILI851972 IVE851972 JFA851972 JOW851972 JYS851972 KIO851972 KSK851972 LCG851972 LMC851972 LVY851972 MFU851972 MPQ851972 MZM851972 NJI851972 NTE851972 ODA851972 OMW851972 OWS851972 PGO851972 PQK851972 QAG851972 QKC851972 QTY851972 RDU851972 RNQ851972 RXM851972 SHI851972 SRE851972 TBA851972 TKW851972 TUS851972 UEO851972 UOK851972 UYG851972 VIC851972 VRY851972 WBU851972 WLQ851972 WVM851972 D917508:E917508 JA917508 SW917508 ACS917508 AMO917508 AWK917508 BGG917508 BQC917508 BZY917508 CJU917508 CTQ917508 DDM917508 DNI917508 DXE917508 EHA917508 EQW917508 FAS917508 FKO917508 FUK917508 GEG917508 GOC917508 GXY917508 HHU917508 HRQ917508 IBM917508 ILI917508 IVE917508 JFA917508 JOW917508 JYS917508 KIO917508 KSK917508 LCG917508 LMC917508 LVY917508 MFU917508 MPQ917508 MZM917508 NJI917508 NTE917508 ODA917508 OMW917508 OWS917508 PGO917508 PQK917508 QAG917508 QKC917508 QTY917508 RDU917508 RNQ917508 RXM917508 SHI917508 SRE917508 TBA917508 TKW917508 TUS917508 UEO917508 UOK917508 UYG917508 VIC917508 VRY917508 WBU917508 WLQ917508 WVM917508 D983044:E983044 JA983044 SW983044 ACS983044 AMO983044 AWK983044 BGG983044 BQC983044 BZY983044 CJU983044 CTQ983044 DDM983044 DNI983044 DXE983044 EHA983044 EQW983044 FAS983044 FKO983044 FUK983044 GEG983044 GOC983044 GXY983044 HHU983044 HRQ983044 IBM983044 ILI983044 IVE983044 JFA983044 JOW983044 JYS983044 KIO983044 KSK983044 LCG983044 LMC983044 LVY983044 MFU983044 MPQ983044 MZM983044 NJI983044 NTE983044 ODA983044 OMW983044 OWS983044 PGO983044 PQK983044 QAG983044 QKC983044 QTY983044 RDU983044 RNQ983044 RXM983044 SHI983044 SRE983044 TBA983044 TKW983044 TUS983044 UEO983044 UOK983044 UYG983044 VIC983044 VRY983044 WBU983044 WLQ983044 WVM983044" xr:uid="{8CCEACFA-EF80-4388-B7C4-D8EA18972B86}">
      <formula1>$B$126:$B$127</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autoPict="0" r:id="rId4">
            <anchor moveWithCells="1">
              <from>
                <xdr:col>1</xdr:col>
                <xdr:colOff>38100</xdr:colOff>
                <xdr:row>0</xdr:row>
                <xdr:rowOff>0</xdr:rowOff>
              </from>
              <to>
                <xdr:col>1</xdr:col>
                <xdr:colOff>1073150</xdr:colOff>
                <xdr:row>1</xdr:row>
                <xdr:rowOff>152400</xdr:rowOff>
              </to>
            </anchor>
          </controlPr>
        </control>
      </mc:Choice>
      <mc:Fallback>
        <control shapeId="2049"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5ECA6-D109-4431-9330-740C0A359E78}">
  <sheetPr codeName="Sheet148"/>
  <dimension ref="B2:BX236"/>
  <sheetViews>
    <sheetView topLeftCell="A12" zoomScale="85" zoomScaleNormal="85" workbookViewId="0">
      <selection activeCell="B21" sqref="B21"/>
    </sheetView>
  </sheetViews>
  <sheetFormatPr defaultColWidth="9.08984375" defaultRowHeight="12.5" x14ac:dyDescent="0.25"/>
  <cols>
    <col min="1" max="1" width="1.453125" style="1" customWidth="1"/>
    <col min="2" max="2" width="9.08984375" style="1"/>
    <col min="3" max="5" width="11.90625" style="1" customWidth="1"/>
    <col min="6" max="6" width="12.1796875" style="1" customWidth="1"/>
    <col min="7" max="10" width="11.90625" style="1" customWidth="1"/>
    <col min="11" max="12" width="9.90625" style="1" customWidth="1"/>
    <col min="13" max="256" width="9.08984375" style="1"/>
    <col min="257" max="257" width="1.453125" style="1" customWidth="1"/>
    <col min="258" max="258" width="9.08984375" style="1"/>
    <col min="259" max="266" width="11.90625" style="1" customWidth="1"/>
    <col min="267" max="268" width="9.90625" style="1" customWidth="1"/>
    <col min="269" max="512" width="9.08984375" style="1"/>
    <col min="513" max="513" width="1.453125" style="1" customWidth="1"/>
    <col min="514" max="514" width="9.08984375" style="1"/>
    <col min="515" max="522" width="11.90625" style="1" customWidth="1"/>
    <col min="523" max="524" width="9.90625" style="1" customWidth="1"/>
    <col min="525" max="768" width="9.08984375" style="1"/>
    <col min="769" max="769" width="1.453125" style="1" customWidth="1"/>
    <col min="770" max="770" width="9.08984375" style="1"/>
    <col min="771" max="778" width="11.90625" style="1" customWidth="1"/>
    <col min="779" max="780" width="9.90625" style="1" customWidth="1"/>
    <col min="781" max="1024" width="9.08984375" style="1"/>
    <col min="1025" max="1025" width="1.453125" style="1" customWidth="1"/>
    <col min="1026" max="1026" width="9.08984375" style="1"/>
    <col min="1027" max="1034" width="11.90625" style="1" customWidth="1"/>
    <col min="1035" max="1036" width="9.90625" style="1" customWidth="1"/>
    <col min="1037" max="1280" width="9.08984375" style="1"/>
    <col min="1281" max="1281" width="1.453125" style="1" customWidth="1"/>
    <col min="1282" max="1282" width="9.08984375" style="1"/>
    <col min="1283" max="1290" width="11.90625" style="1" customWidth="1"/>
    <col min="1291" max="1292" width="9.90625" style="1" customWidth="1"/>
    <col min="1293" max="1536" width="9.08984375" style="1"/>
    <col min="1537" max="1537" width="1.453125" style="1" customWidth="1"/>
    <col min="1538" max="1538" width="9.08984375" style="1"/>
    <col min="1539" max="1546" width="11.90625" style="1" customWidth="1"/>
    <col min="1547" max="1548" width="9.90625" style="1" customWidth="1"/>
    <col min="1549" max="1792" width="9.08984375" style="1"/>
    <col min="1793" max="1793" width="1.453125" style="1" customWidth="1"/>
    <col min="1794" max="1794" width="9.08984375" style="1"/>
    <col min="1795" max="1802" width="11.90625" style="1" customWidth="1"/>
    <col min="1803" max="1804" width="9.90625" style="1" customWidth="1"/>
    <col min="1805" max="2048" width="9.08984375" style="1"/>
    <col min="2049" max="2049" width="1.453125" style="1" customWidth="1"/>
    <col min="2050" max="2050" width="9.08984375" style="1"/>
    <col min="2051" max="2058" width="11.90625" style="1" customWidth="1"/>
    <col min="2059" max="2060" width="9.90625" style="1" customWidth="1"/>
    <col min="2061" max="2304" width="9.08984375" style="1"/>
    <col min="2305" max="2305" width="1.453125" style="1" customWidth="1"/>
    <col min="2306" max="2306" width="9.08984375" style="1"/>
    <col min="2307" max="2314" width="11.90625" style="1" customWidth="1"/>
    <col min="2315" max="2316" width="9.90625" style="1" customWidth="1"/>
    <col min="2317" max="2560" width="9.08984375" style="1"/>
    <col min="2561" max="2561" width="1.453125" style="1" customWidth="1"/>
    <col min="2562" max="2562" width="9.08984375" style="1"/>
    <col min="2563" max="2570" width="11.90625" style="1" customWidth="1"/>
    <col min="2571" max="2572" width="9.90625" style="1" customWidth="1"/>
    <col min="2573" max="2816" width="9.08984375" style="1"/>
    <col min="2817" max="2817" width="1.453125" style="1" customWidth="1"/>
    <col min="2818" max="2818" width="9.08984375" style="1"/>
    <col min="2819" max="2826" width="11.90625" style="1" customWidth="1"/>
    <col min="2827" max="2828" width="9.90625" style="1" customWidth="1"/>
    <col min="2829" max="3072" width="9.08984375" style="1"/>
    <col min="3073" max="3073" width="1.453125" style="1" customWidth="1"/>
    <col min="3074" max="3074" width="9.08984375" style="1"/>
    <col min="3075" max="3082" width="11.90625" style="1" customWidth="1"/>
    <col min="3083" max="3084" width="9.90625" style="1" customWidth="1"/>
    <col min="3085" max="3328" width="9.08984375" style="1"/>
    <col min="3329" max="3329" width="1.453125" style="1" customWidth="1"/>
    <col min="3330" max="3330" width="9.08984375" style="1"/>
    <col min="3331" max="3338" width="11.90625" style="1" customWidth="1"/>
    <col min="3339" max="3340" width="9.90625" style="1" customWidth="1"/>
    <col min="3341" max="3584" width="9.08984375" style="1"/>
    <col min="3585" max="3585" width="1.453125" style="1" customWidth="1"/>
    <col min="3586" max="3586" width="9.08984375" style="1"/>
    <col min="3587" max="3594" width="11.90625" style="1" customWidth="1"/>
    <col min="3595" max="3596" width="9.90625" style="1" customWidth="1"/>
    <col min="3597" max="3840" width="9.08984375" style="1"/>
    <col min="3841" max="3841" width="1.453125" style="1" customWidth="1"/>
    <col min="3842" max="3842" width="9.08984375" style="1"/>
    <col min="3843" max="3850" width="11.90625" style="1" customWidth="1"/>
    <col min="3851" max="3852" width="9.90625" style="1" customWidth="1"/>
    <col min="3853" max="4096" width="9.08984375" style="1"/>
    <col min="4097" max="4097" width="1.453125" style="1" customWidth="1"/>
    <col min="4098" max="4098" width="9.08984375" style="1"/>
    <col min="4099" max="4106" width="11.90625" style="1" customWidth="1"/>
    <col min="4107" max="4108" width="9.90625" style="1" customWidth="1"/>
    <col min="4109" max="4352" width="9.08984375" style="1"/>
    <col min="4353" max="4353" width="1.453125" style="1" customWidth="1"/>
    <col min="4354" max="4354" width="9.08984375" style="1"/>
    <col min="4355" max="4362" width="11.90625" style="1" customWidth="1"/>
    <col min="4363" max="4364" width="9.90625" style="1" customWidth="1"/>
    <col min="4365" max="4608" width="9.08984375" style="1"/>
    <col min="4609" max="4609" width="1.453125" style="1" customWidth="1"/>
    <col min="4610" max="4610" width="9.08984375" style="1"/>
    <col min="4611" max="4618" width="11.90625" style="1" customWidth="1"/>
    <col min="4619" max="4620" width="9.90625" style="1" customWidth="1"/>
    <col min="4621" max="4864" width="9.08984375" style="1"/>
    <col min="4865" max="4865" width="1.453125" style="1" customWidth="1"/>
    <col min="4866" max="4866" width="9.08984375" style="1"/>
    <col min="4867" max="4874" width="11.90625" style="1" customWidth="1"/>
    <col min="4875" max="4876" width="9.90625" style="1" customWidth="1"/>
    <col min="4877" max="5120" width="9.08984375" style="1"/>
    <col min="5121" max="5121" width="1.453125" style="1" customWidth="1"/>
    <col min="5122" max="5122" width="9.08984375" style="1"/>
    <col min="5123" max="5130" width="11.90625" style="1" customWidth="1"/>
    <col min="5131" max="5132" width="9.90625" style="1" customWidth="1"/>
    <col min="5133" max="5376" width="9.08984375" style="1"/>
    <col min="5377" max="5377" width="1.453125" style="1" customWidth="1"/>
    <col min="5378" max="5378" width="9.08984375" style="1"/>
    <col min="5379" max="5386" width="11.90625" style="1" customWidth="1"/>
    <col min="5387" max="5388" width="9.90625" style="1" customWidth="1"/>
    <col min="5389" max="5632" width="9.08984375" style="1"/>
    <col min="5633" max="5633" width="1.453125" style="1" customWidth="1"/>
    <col min="5634" max="5634" width="9.08984375" style="1"/>
    <col min="5635" max="5642" width="11.90625" style="1" customWidth="1"/>
    <col min="5643" max="5644" width="9.90625" style="1" customWidth="1"/>
    <col min="5645" max="5888" width="9.08984375" style="1"/>
    <col min="5889" max="5889" width="1.453125" style="1" customWidth="1"/>
    <col min="5890" max="5890" width="9.08984375" style="1"/>
    <col min="5891" max="5898" width="11.90625" style="1" customWidth="1"/>
    <col min="5899" max="5900" width="9.90625" style="1" customWidth="1"/>
    <col min="5901" max="6144" width="9.08984375" style="1"/>
    <col min="6145" max="6145" width="1.453125" style="1" customWidth="1"/>
    <col min="6146" max="6146" width="9.08984375" style="1"/>
    <col min="6147" max="6154" width="11.90625" style="1" customWidth="1"/>
    <col min="6155" max="6156" width="9.90625" style="1" customWidth="1"/>
    <col min="6157" max="6400" width="9.08984375" style="1"/>
    <col min="6401" max="6401" width="1.453125" style="1" customWidth="1"/>
    <col min="6402" max="6402" width="9.08984375" style="1"/>
    <col min="6403" max="6410" width="11.90625" style="1" customWidth="1"/>
    <col min="6411" max="6412" width="9.90625" style="1" customWidth="1"/>
    <col min="6413" max="6656" width="9.08984375" style="1"/>
    <col min="6657" max="6657" width="1.453125" style="1" customWidth="1"/>
    <col min="6658" max="6658" width="9.08984375" style="1"/>
    <col min="6659" max="6666" width="11.90625" style="1" customWidth="1"/>
    <col min="6667" max="6668" width="9.90625" style="1" customWidth="1"/>
    <col min="6669" max="6912" width="9.08984375" style="1"/>
    <col min="6913" max="6913" width="1.453125" style="1" customWidth="1"/>
    <col min="6914" max="6914" width="9.08984375" style="1"/>
    <col min="6915" max="6922" width="11.90625" style="1" customWidth="1"/>
    <col min="6923" max="6924" width="9.90625" style="1" customWidth="1"/>
    <col min="6925" max="7168" width="9.08984375" style="1"/>
    <col min="7169" max="7169" width="1.453125" style="1" customWidth="1"/>
    <col min="7170" max="7170" width="9.08984375" style="1"/>
    <col min="7171" max="7178" width="11.90625" style="1" customWidth="1"/>
    <col min="7179" max="7180" width="9.90625" style="1" customWidth="1"/>
    <col min="7181" max="7424" width="9.08984375" style="1"/>
    <col min="7425" max="7425" width="1.453125" style="1" customWidth="1"/>
    <col min="7426" max="7426" width="9.08984375" style="1"/>
    <col min="7427" max="7434" width="11.90625" style="1" customWidth="1"/>
    <col min="7435" max="7436" width="9.90625" style="1" customWidth="1"/>
    <col min="7437" max="7680" width="9.08984375" style="1"/>
    <col min="7681" max="7681" width="1.453125" style="1" customWidth="1"/>
    <col min="7682" max="7682" width="9.08984375" style="1"/>
    <col min="7683" max="7690" width="11.90625" style="1" customWidth="1"/>
    <col min="7691" max="7692" width="9.90625" style="1" customWidth="1"/>
    <col min="7693" max="7936" width="9.08984375" style="1"/>
    <col min="7937" max="7937" width="1.453125" style="1" customWidth="1"/>
    <col min="7938" max="7938" width="9.08984375" style="1"/>
    <col min="7939" max="7946" width="11.90625" style="1" customWidth="1"/>
    <col min="7947" max="7948" width="9.90625" style="1" customWidth="1"/>
    <col min="7949" max="8192" width="9.08984375" style="1"/>
    <col min="8193" max="8193" width="1.453125" style="1" customWidth="1"/>
    <col min="8194" max="8194" width="9.08984375" style="1"/>
    <col min="8195" max="8202" width="11.90625" style="1" customWidth="1"/>
    <col min="8203" max="8204" width="9.90625" style="1" customWidth="1"/>
    <col min="8205" max="8448" width="9.08984375" style="1"/>
    <col min="8449" max="8449" width="1.453125" style="1" customWidth="1"/>
    <col min="8450" max="8450" width="9.08984375" style="1"/>
    <col min="8451" max="8458" width="11.90625" style="1" customWidth="1"/>
    <col min="8459" max="8460" width="9.90625" style="1" customWidth="1"/>
    <col min="8461" max="8704" width="9.08984375" style="1"/>
    <col min="8705" max="8705" width="1.453125" style="1" customWidth="1"/>
    <col min="8706" max="8706" width="9.08984375" style="1"/>
    <col min="8707" max="8714" width="11.90625" style="1" customWidth="1"/>
    <col min="8715" max="8716" width="9.90625" style="1" customWidth="1"/>
    <col min="8717" max="8960" width="9.08984375" style="1"/>
    <col min="8961" max="8961" width="1.453125" style="1" customWidth="1"/>
    <col min="8962" max="8962" width="9.08984375" style="1"/>
    <col min="8963" max="8970" width="11.90625" style="1" customWidth="1"/>
    <col min="8971" max="8972" width="9.90625" style="1" customWidth="1"/>
    <col min="8973" max="9216" width="9.08984375" style="1"/>
    <col min="9217" max="9217" width="1.453125" style="1" customWidth="1"/>
    <col min="9218" max="9218" width="9.08984375" style="1"/>
    <col min="9219" max="9226" width="11.90625" style="1" customWidth="1"/>
    <col min="9227" max="9228" width="9.90625" style="1" customWidth="1"/>
    <col min="9229" max="9472" width="9.08984375" style="1"/>
    <col min="9473" max="9473" width="1.453125" style="1" customWidth="1"/>
    <col min="9474" max="9474" width="9.08984375" style="1"/>
    <col min="9475" max="9482" width="11.90625" style="1" customWidth="1"/>
    <col min="9483" max="9484" width="9.90625" style="1" customWidth="1"/>
    <col min="9485" max="9728" width="9.08984375" style="1"/>
    <col min="9729" max="9729" width="1.453125" style="1" customWidth="1"/>
    <col min="9730" max="9730" width="9.08984375" style="1"/>
    <col min="9731" max="9738" width="11.90625" style="1" customWidth="1"/>
    <col min="9739" max="9740" width="9.90625" style="1" customWidth="1"/>
    <col min="9741" max="9984" width="9.08984375" style="1"/>
    <col min="9985" max="9985" width="1.453125" style="1" customWidth="1"/>
    <col min="9986" max="9986" width="9.08984375" style="1"/>
    <col min="9987" max="9994" width="11.90625" style="1" customWidth="1"/>
    <col min="9995" max="9996" width="9.90625" style="1" customWidth="1"/>
    <col min="9997" max="10240" width="9.08984375" style="1"/>
    <col min="10241" max="10241" width="1.453125" style="1" customWidth="1"/>
    <col min="10242" max="10242" width="9.08984375" style="1"/>
    <col min="10243" max="10250" width="11.90625" style="1" customWidth="1"/>
    <col min="10251" max="10252" width="9.90625" style="1" customWidth="1"/>
    <col min="10253" max="10496" width="9.08984375" style="1"/>
    <col min="10497" max="10497" width="1.453125" style="1" customWidth="1"/>
    <col min="10498" max="10498" width="9.08984375" style="1"/>
    <col min="10499" max="10506" width="11.90625" style="1" customWidth="1"/>
    <col min="10507" max="10508" width="9.90625" style="1" customWidth="1"/>
    <col min="10509" max="10752" width="9.08984375" style="1"/>
    <col min="10753" max="10753" width="1.453125" style="1" customWidth="1"/>
    <col min="10754" max="10754" width="9.08984375" style="1"/>
    <col min="10755" max="10762" width="11.90625" style="1" customWidth="1"/>
    <col min="10763" max="10764" width="9.90625" style="1" customWidth="1"/>
    <col min="10765" max="11008" width="9.08984375" style="1"/>
    <col min="11009" max="11009" width="1.453125" style="1" customWidth="1"/>
    <col min="11010" max="11010" width="9.08984375" style="1"/>
    <col min="11011" max="11018" width="11.90625" style="1" customWidth="1"/>
    <col min="11019" max="11020" width="9.90625" style="1" customWidth="1"/>
    <col min="11021" max="11264" width="9.08984375" style="1"/>
    <col min="11265" max="11265" width="1.453125" style="1" customWidth="1"/>
    <col min="11266" max="11266" width="9.08984375" style="1"/>
    <col min="11267" max="11274" width="11.90625" style="1" customWidth="1"/>
    <col min="11275" max="11276" width="9.90625" style="1" customWidth="1"/>
    <col min="11277" max="11520" width="9.08984375" style="1"/>
    <col min="11521" max="11521" width="1.453125" style="1" customWidth="1"/>
    <col min="11522" max="11522" width="9.08984375" style="1"/>
    <col min="11523" max="11530" width="11.90625" style="1" customWidth="1"/>
    <col min="11531" max="11532" width="9.90625" style="1" customWidth="1"/>
    <col min="11533" max="11776" width="9.08984375" style="1"/>
    <col min="11777" max="11777" width="1.453125" style="1" customWidth="1"/>
    <col min="11778" max="11778" width="9.08984375" style="1"/>
    <col min="11779" max="11786" width="11.90625" style="1" customWidth="1"/>
    <col min="11787" max="11788" width="9.90625" style="1" customWidth="1"/>
    <col min="11789" max="12032" width="9.08984375" style="1"/>
    <col min="12033" max="12033" width="1.453125" style="1" customWidth="1"/>
    <col min="12034" max="12034" width="9.08984375" style="1"/>
    <col min="12035" max="12042" width="11.90625" style="1" customWidth="1"/>
    <col min="12043" max="12044" width="9.90625" style="1" customWidth="1"/>
    <col min="12045" max="12288" width="9.08984375" style="1"/>
    <col min="12289" max="12289" width="1.453125" style="1" customWidth="1"/>
    <col min="12290" max="12290" width="9.08984375" style="1"/>
    <col min="12291" max="12298" width="11.90625" style="1" customWidth="1"/>
    <col min="12299" max="12300" width="9.90625" style="1" customWidth="1"/>
    <col min="12301" max="12544" width="9.08984375" style="1"/>
    <col min="12545" max="12545" width="1.453125" style="1" customWidth="1"/>
    <col min="12546" max="12546" width="9.08984375" style="1"/>
    <col min="12547" max="12554" width="11.90625" style="1" customWidth="1"/>
    <col min="12555" max="12556" width="9.90625" style="1" customWidth="1"/>
    <col min="12557" max="12800" width="9.08984375" style="1"/>
    <col min="12801" max="12801" width="1.453125" style="1" customWidth="1"/>
    <col min="12802" max="12802" width="9.08984375" style="1"/>
    <col min="12803" max="12810" width="11.90625" style="1" customWidth="1"/>
    <col min="12811" max="12812" width="9.90625" style="1" customWidth="1"/>
    <col min="12813" max="13056" width="9.08984375" style="1"/>
    <col min="13057" max="13057" width="1.453125" style="1" customWidth="1"/>
    <col min="13058" max="13058" width="9.08984375" style="1"/>
    <col min="13059" max="13066" width="11.90625" style="1" customWidth="1"/>
    <col min="13067" max="13068" width="9.90625" style="1" customWidth="1"/>
    <col min="13069" max="13312" width="9.08984375" style="1"/>
    <col min="13313" max="13313" width="1.453125" style="1" customWidth="1"/>
    <col min="13314" max="13314" width="9.08984375" style="1"/>
    <col min="13315" max="13322" width="11.90625" style="1" customWidth="1"/>
    <col min="13323" max="13324" width="9.90625" style="1" customWidth="1"/>
    <col min="13325" max="13568" width="9.08984375" style="1"/>
    <col min="13569" max="13569" width="1.453125" style="1" customWidth="1"/>
    <col min="13570" max="13570" width="9.08984375" style="1"/>
    <col min="13571" max="13578" width="11.90625" style="1" customWidth="1"/>
    <col min="13579" max="13580" width="9.90625" style="1" customWidth="1"/>
    <col min="13581" max="13824" width="9.08984375" style="1"/>
    <col min="13825" max="13825" width="1.453125" style="1" customWidth="1"/>
    <col min="13826" max="13826" width="9.08984375" style="1"/>
    <col min="13827" max="13834" width="11.90625" style="1" customWidth="1"/>
    <col min="13835" max="13836" width="9.90625" style="1" customWidth="1"/>
    <col min="13837" max="14080" width="9.08984375" style="1"/>
    <col min="14081" max="14081" width="1.453125" style="1" customWidth="1"/>
    <col min="14082" max="14082" width="9.08984375" style="1"/>
    <col min="14083" max="14090" width="11.90625" style="1" customWidth="1"/>
    <col min="14091" max="14092" width="9.90625" style="1" customWidth="1"/>
    <col min="14093" max="14336" width="9.08984375" style="1"/>
    <col min="14337" max="14337" width="1.453125" style="1" customWidth="1"/>
    <col min="14338" max="14338" width="9.08984375" style="1"/>
    <col min="14339" max="14346" width="11.90625" style="1" customWidth="1"/>
    <col min="14347" max="14348" width="9.90625" style="1" customWidth="1"/>
    <col min="14349" max="14592" width="9.08984375" style="1"/>
    <col min="14593" max="14593" width="1.453125" style="1" customWidth="1"/>
    <col min="14594" max="14594" width="9.08984375" style="1"/>
    <col min="14595" max="14602" width="11.90625" style="1" customWidth="1"/>
    <col min="14603" max="14604" width="9.90625" style="1" customWidth="1"/>
    <col min="14605" max="14848" width="9.08984375" style="1"/>
    <col min="14849" max="14849" width="1.453125" style="1" customWidth="1"/>
    <col min="14850" max="14850" width="9.08984375" style="1"/>
    <col min="14851" max="14858" width="11.90625" style="1" customWidth="1"/>
    <col min="14859" max="14860" width="9.90625" style="1" customWidth="1"/>
    <col min="14861" max="15104" width="9.08984375" style="1"/>
    <col min="15105" max="15105" width="1.453125" style="1" customWidth="1"/>
    <col min="15106" max="15106" width="9.08984375" style="1"/>
    <col min="15107" max="15114" width="11.90625" style="1" customWidth="1"/>
    <col min="15115" max="15116" width="9.90625" style="1" customWidth="1"/>
    <col min="15117" max="15360" width="9.08984375" style="1"/>
    <col min="15361" max="15361" width="1.453125" style="1" customWidth="1"/>
    <col min="15362" max="15362" width="9.08984375" style="1"/>
    <col min="15363" max="15370" width="11.90625" style="1" customWidth="1"/>
    <col min="15371" max="15372" width="9.90625" style="1" customWidth="1"/>
    <col min="15373" max="15616" width="9.08984375" style="1"/>
    <col min="15617" max="15617" width="1.453125" style="1" customWidth="1"/>
    <col min="15618" max="15618" width="9.08984375" style="1"/>
    <col min="15619" max="15626" width="11.90625" style="1" customWidth="1"/>
    <col min="15627" max="15628" width="9.90625" style="1" customWidth="1"/>
    <col min="15629" max="15872" width="9.08984375" style="1"/>
    <col min="15873" max="15873" width="1.453125" style="1" customWidth="1"/>
    <col min="15874" max="15874" width="9.08984375" style="1"/>
    <col min="15875" max="15882" width="11.90625" style="1" customWidth="1"/>
    <col min="15883" max="15884" width="9.90625" style="1" customWidth="1"/>
    <col min="15885" max="16128" width="9.08984375" style="1"/>
    <col min="16129" max="16129" width="1.453125" style="1" customWidth="1"/>
    <col min="16130" max="16130" width="9.08984375" style="1"/>
    <col min="16131" max="16138" width="11.90625" style="1" customWidth="1"/>
    <col min="16139" max="16140" width="9.90625" style="1" customWidth="1"/>
    <col min="16141" max="16384" width="9.08984375" style="1"/>
  </cols>
  <sheetData>
    <row r="2" spans="2:17" x14ac:dyDescent="0.25">
      <c r="B2" s="5" t="s">
        <v>2</v>
      </c>
    </row>
    <row r="3" spans="2:17" ht="13" x14ac:dyDescent="0.3">
      <c r="B3" s="6" t="s">
        <v>3</v>
      </c>
      <c r="C3" s="7"/>
      <c r="D3" s="7"/>
      <c r="E3" s="8"/>
    </row>
    <row r="4" spans="2:17" x14ac:dyDescent="0.25">
      <c r="B4" s="9" t="s">
        <v>4</v>
      </c>
      <c r="E4" s="10" t="s">
        <v>5</v>
      </c>
    </row>
    <row r="5" spans="2:17" x14ac:dyDescent="0.25">
      <c r="B5" s="9" t="s">
        <v>6</v>
      </c>
      <c r="E5" s="11"/>
    </row>
    <row r="6" spans="2:17" x14ac:dyDescent="0.25">
      <c r="B6" s="9" t="s">
        <v>7</v>
      </c>
      <c r="E6" s="11"/>
    </row>
    <row r="7" spans="2:17" x14ac:dyDescent="0.25">
      <c r="B7" s="9" t="s">
        <v>8</v>
      </c>
      <c r="E7" s="12">
        <v>4.6399999999999997</v>
      </c>
    </row>
    <row r="8" spans="2:17" x14ac:dyDescent="0.25">
      <c r="B8" s="9" t="s">
        <v>9</v>
      </c>
      <c r="E8" s="190">
        <f ca="1">Q9</f>
        <v>26.399998799999999</v>
      </c>
      <c r="O8" s="96">
        <f ca="1">TODAY()</f>
        <v>46220</v>
      </c>
      <c r="P8" s="96">
        <v>46256</v>
      </c>
      <c r="Q8" s="1">
        <f ca="1">P8-O8</f>
        <v>36</v>
      </c>
    </row>
    <row r="9" spans="2:17" x14ac:dyDescent="0.25">
      <c r="B9" s="9" t="s">
        <v>10</v>
      </c>
      <c r="E9" s="13">
        <v>1.56</v>
      </c>
      <c r="Q9" s="1">
        <f ca="1">Q8*Q11</f>
        <v>26.399998799999999</v>
      </c>
    </row>
    <row r="10" spans="2:17" x14ac:dyDescent="0.25">
      <c r="B10" s="9" t="s">
        <v>11</v>
      </c>
      <c r="E10" s="14">
        <v>0.04</v>
      </c>
    </row>
    <row r="11" spans="2:17" x14ac:dyDescent="0.25">
      <c r="B11" s="9" t="s">
        <v>12</v>
      </c>
      <c r="E11" s="12">
        <v>1.27</v>
      </c>
      <c r="Q11" s="1">
        <v>0.73333329999999997</v>
      </c>
    </row>
    <row r="12" spans="2:17" x14ac:dyDescent="0.25">
      <c r="B12" s="15"/>
      <c r="E12" s="16"/>
    </row>
    <row r="13" spans="2:17" ht="13" x14ac:dyDescent="0.3">
      <c r="B13" s="17" t="s">
        <v>13</v>
      </c>
      <c r="E13" s="16"/>
    </row>
    <row r="14" spans="2:17" x14ac:dyDescent="0.25">
      <c r="B14" s="18" t="s">
        <v>14</v>
      </c>
      <c r="C14" s="19"/>
      <c r="D14" s="19"/>
      <c r="E14" s="20">
        <v>0</v>
      </c>
    </row>
    <row r="15" spans="2:17" x14ac:dyDescent="0.25">
      <c r="B15" s="5"/>
      <c r="C15" s="21"/>
    </row>
    <row r="16" spans="2:17" x14ac:dyDescent="0.25">
      <c r="B16" s="5"/>
      <c r="C16" s="21"/>
    </row>
    <row r="17" spans="2:76" ht="13" x14ac:dyDescent="0.3">
      <c r="B17" s="6" t="s">
        <v>15</v>
      </c>
      <c r="C17" s="7"/>
      <c r="D17" s="7"/>
      <c r="E17" s="8"/>
    </row>
    <row r="18" spans="2:76" x14ac:dyDescent="0.25">
      <c r="B18" s="22"/>
      <c r="C18" s="22"/>
      <c r="D18" s="22"/>
      <c r="E18" s="23" t="s">
        <v>16</v>
      </c>
    </row>
    <row r="19" spans="2:76" x14ac:dyDescent="0.25">
      <c r="B19" s="24"/>
      <c r="C19" s="24"/>
      <c r="D19" s="24"/>
      <c r="E19" s="25" t="s">
        <v>17</v>
      </c>
    </row>
    <row r="20" spans="2:76" x14ac:dyDescent="0.25">
      <c r="B20" s="26" t="s">
        <v>18</v>
      </c>
      <c r="C20" s="26" t="s">
        <v>19</v>
      </c>
      <c r="D20" s="26" t="s">
        <v>20</v>
      </c>
      <c r="E20" s="26" t="s">
        <v>21</v>
      </c>
    </row>
    <row r="21" spans="2:76" x14ac:dyDescent="0.25">
      <c r="B21" s="27" cm="1">
        <f t="array" aca="1" ref="B21:E21" ca="1">[2]!HoadleySABRCalibrate(E4,B29:B150,C29:C150,E7,E8,E9,E10,E11,E14)</f>
        <v>2.6411800000000185</v>
      </c>
      <c r="C21" s="28">
        <f ca="1"/>
        <v>-8.0870000000000095E-2</v>
      </c>
      <c r="D21" s="28">
        <f ca="1"/>
        <v>443</v>
      </c>
      <c r="E21" s="29">
        <f ca="1"/>
        <v>0.71708579446497922</v>
      </c>
    </row>
    <row r="22" spans="2:76" x14ac:dyDescent="0.25">
      <c r="B22" s="18"/>
      <c r="C22" s="30"/>
      <c r="D22" s="19"/>
      <c r="E22" s="31"/>
    </row>
    <row r="24" spans="2:76" x14ac:dyDescent="0.25">
      <c r="G24" s="32" t="s">
        <v>22</v>
      </c>
      <c r="H24" s="11" t="s">
        <v>23</v>
      </c>
    </row>
    <row r="26" spans="2:76" ht="13" x14ac:dyDescent="0.3">
      <c r="B26" s="33" t="s">
        <v>24</v>
      </c>
      <c r="C26" s="34"/>
      <c r="D26" s="35" t="s">
        <v>25</v>
      </c>
      <c r="E26" s="34"/>
      <c r="F26" s="34"/>
      <c r="G26" s="34"/>
      <c r="H26" s="36"/>
    </row>
    <row r="27" spans="2:76" x14ac:dyDescent="0.25">
      <c r="B27" s="37"/>
      <c r="C27" s="38" t="s">
        <v>26</v>
      </c>
      <c r="D27" s="38" t="s">
        <v>27</v>
      </c>
      <c r="E27" s="38" t="s">
        <v>28</v>
      </c>
      <c r="F27" s="38" t="s">
        <v>27</v>
      </c>
      <c r="G27" s="38" t="s">
        <v>29</v>
      </c>
      <c r="H27" s="39" t="s">
        <v>27</v>
      </c>
    </row>
    <row r="28" spans="2:76" x14ac:dyDescent="0.25">
      <c r="B28" s="40" t="s">
        <v>30</v>
      </c>
      <c r="C28" s="41" t="s">
        <v>31</v>
      </c>
      <c r="D28" s="41" t="s">
        <v>32</v>
      </c>
      <c r="E28" s="41" t="s">
        <v>33</v>
      </c>
      <c r="F28" s="41" t="s">
        <v>33</v>
      </c>
      <c r="G28" s="41" t="s">
        <v>34</v>
      </c>
      <c r="H28" s="42" t="s">
        <v>34</v>
      </c>
    </row>
    <row r="29" spans="2:76" x14ac:dyDescent="0.25">
      <c r="B29" s="43">
        <v>2</v>
      </c>
      <c r="C29" s="44">
        <v>1.8398526023481543</v>
      </c>
      <c r="D29" s="46" cm="1">
        <f t="array" aca="1" ref="D29" ca="1">[2]!HoadleySABRBlackVol($E$4,$B29,$E$7,$E$8,$E$9,$E$10,$E$11,$B$21,$C$21,$E$14)</f>
        <v>1.855133507539561</v>
      </c>
      <c r="E29" s="47" cm="1">
        <f t="array" aca="1" ref="E29" ca="1">[2]!HoadleyOptions2("P",1,$H$24,B29,$E$7,$E$8,$C29,$E$10,"c",$E$14)</f>
        <v>2.6722468696473314</v>
      </c>
      <c r="F29" s="47" cm="1">
        <f t="array" aca="1" ref="F29" ca="1">[2]!HoadleySABROption("P",$H$24,$E$4,$B29,$E$7,$E$8,$E$9,$E$10,$E$11,$B$21,$C$21,$E$14)</f>
        <v>2.673387280570072</v>
      </c>
      <c r="G29" s="48" cm="1">
        <f t="array" aca="1" ref="G29" ca="1">[2]!HoadleyOptions2("D",1,$H$24,B29,$E$7,$E$8,$C29,$E$10,"c",$E$14)</f>
        <v>0.97465184208286115</v>
      </c>
      <c r="H29" s="48" cm="1">
        <f t="array" aca="1" ref="H29" ca="1">[2]!HoadleySABROption("D",$H$24,$E$4,$B29,$E$7,$E$8,$E$9,$E$10,$E$11,$B$21,$C$21,$E$14)</f>
        <v>0.98019187166240584</v>
      </c>
      <c r="K29" s="169" cm="1">
        <f t="array" ref="K29:BX29">TRANSPOSE(B29:B94)</f>
        <v>2</v>
      </c>
      <c r="L29" s="1">
        <v>3</v>
      </c>
      <c r="M29" s="1">
        <v>4</v>
      </c>
      <c r="N29" s="1">
        <v>5</v>
      </c>
      <c r="O29" s="1">
        <v>6</v>
      </c>
      <c r="P29" s="1">
        <v>7</v>
      </c>
      <c r="Q29" s="1">
        <v>8</v>
      </c>
      <c r="R29" s="1">
        <v>9</v>
      </c>
      <c r="S29" s="1">
        <v>10</v>
      </c>
      <c r="T29" s="1">
        <v>11</v>
      </c>
      <c r="U29" s="1">
        <v>12</v>
      </c>
      <c r="V29" s="1">
        <v>13</v>
      </c>
      <c r="W29" s="1">
        <v>14</v>
      </c>
      <c r="X29" s="1">
        <v>15</v>
      </c>
      <c r="Y29" s="1">
        <v>16</v>
      </c>
      <c r="Z29" s="1">
        <v>17</v>
      </c>
      <c r="AA29" s="1">
        <v>18</v>
      </c>
      <c r="AB29" s="1">
        <v>19</v>
      </c>
      <c r="AC29" s="1">
        <v>20</v>
      </c>
      <c r="AD29" s="1">
        <v>21</v>
      </c>
      <c r="AE29" s="1">
        <v>22</v>
      </c>
      <c r="AF29" s="1">
        <v>23</v>
      </c>
      <c r="AG29" s="1">
        <v>24</v>
      </c>
      <c r="AH29" s="1">
        <v>25</v>
      </c>
      <c r="AI29" s="1">
        <v>26</v>
      </c>
      <c r="AJ29" s="1">
        <v>27</v>
      </c>
      <c r="AK29" s="1">
        <v>28</v>
      </c>
      <c r="AL29" s="1">
        <v>29</v>
      </c>
      <c r="AM29" s="1">
        <v>30</v>
      </c>
      <c r="AN29" s="1">
        <v>31</v>
      </c>
      <c r="AO29" s="1">
        <v>32</v>
      </c>
      <c r="AP29" s="1">
        <v>33</v>
      </c>
      <c r="AQ29" s="1">
        <v>34</v>
      </c>
      <c r="AR29" s="1">
        <v>35</v>
      </c>
      <c r="AS29" s="1">
        <v>36</v>
      </c>
      <c r="AT29" s="1">
        <v>37</v>
      </c>
      <c r="AU29" s="1">
        <v>38</v>
      </c>
      <c r="AV29" s="1">
        <v>39</v>
      </c>
      <c r="AW29" s="1">
        <v>40</v>
      </c>
      <c r="AX29" s="1">
        <v>41</v>
      </c>
      <c r="AY29" s="1">
        <v>42</v>
      </c>
      <c r="AZ29" s="1">
        <v>43</v>
      </c>
      <c r="BA29" s="1">
        <v>44</v>
      </c>
      <c r="BB29" s="1">
        <v>45</v>
      </c>
      <c r="BC29" s="1">
        <v>0</v>
      </c>
      <c r="BD29" s="1">
        <v>0</v>
      </c>
      <c r="BE29" s="1">
        <v>0</v>
      </c>
      <c r="BF29" s="1">
        <v>0</v>
      </c>
      <c r="BG29" s="1">
        <v>0</v>
      </c>
      <c r="BH29" s="1">
        <v>0</v>
      </c>
      <c r="BI29" s="1">
        <v>0</v>
      </c>
      <c r="BJ29" s="1">
        <v>0</v>
      </c>
      <c r="BK29" s="1">
        <v>0</v>
      </c>
      <c r="BL29" s="1">
        <v>0</v>
      </c>
      <c r="BM29" s="1">
        <v>0</v>
      </c>
      <c r="BN29" s="1">
        <v>0</v>
      </c>
      <c r="BO29" s="1">
        <v>0</v>
      </c>
      <c r="BP29" s="1">
        <v>0</v>
      </c>
      <c r="BQ29" s="1">
        <v>0</v>
      </c>
      <c r="BR29" s="1">
        <v>0</v>
      </c>
      <c r="BS29" s="1">
        <v>0</v>
      </c>
      <c r="BT29" s="1">
        <v>0</v>
      </c>
      <c r="BU29" s="1">
        <v>0</v>
      </c>
      <c r="BV29" s="1">
        <v>0</v>
      </c>
      <c r="BW29" s="1">
        <v>0</v>
      </c>
      <c r="BX29" s="1">
        <v>0</v>
      </c>
    </row>
    <row r="30" spans="2:76" x14ac:dyDescent="0.25">
      <c r="B30" s="43">
        <v>3</v>
      </c>
      <c r="C30" s="45">
        <v>1.6293863244643434</v>
      </c>
      <c r="D30" s="46" cm="1">
        <f t="array" aca="1" ref="D30" ca="1">[2]!HoadleySABRBlackVol($E$4,$B30,$E$7,$E$8,$E$9,$E$10,$E$11,$B$21,$C$21,$E$14)</f>
        <v>1.6483011430620822</v>
      </c>
      <c r="E30" s="47" cm="1">
        <f t="array" aca="1" ref="E30" ca="1">[2]!HoadleyOptions2("P",1,$H$24,B30,$E$7,$E$8,$C30,$E$10,"c",$E$14)</f>
        <v>1.7821704789471888</v>
      </c>
      <c r="F30" s="47" cm="1">
        <f t="array" aca="1" ref="F30" ca="1">[2]!HoadleySABROption("P",$H$24,$E$4,$B30,$E$7,$E$8,$E$9,$E$10,$E$11,$B$21,$C$21,$E$14)</f>
        <v>1.7866645049227938</v>
      </c>
      <c r="G30" s="48" cm="1">
        <f t="array" aca="1" ref="G30" ca="1">[2]!HoadleyOptions2("D",1,$H$24,B30,$E$7,$E$8,$C30,$E$10,"c",$E$14)</f>
        <v>0.88893832693597252</v>
      </c>
      <c r="H30" s="48" cm="1">
        <f t="array" aca="1" ref="H30" ca="1">[2]!HoadleySABROption("D",$H$24,$E$4,$B30,$E$7,$E$8,$E$9,$E$10,$E$11,$B$21,$C$21,$E$14)</f>
        <v>0.90650512510641601</v>
      </c>
    </row>
    <row r="31" spans="2:76" x14ac:dyDescent="0.25">
      <c r="B31" s="43">
        <v>4</v>
      </c>
      <c r="C31" s="45">
        <v>1.5622832735265448</v>
      </c>
      <c r="D31" s="46" cm="1">
        <f t="array" aca="1" ref="D31" ca="1">[2]!HoadleySABRBlackVol($E$4,$B31,$E$7,$E$8,$E$9,$E$10,$E$11,$B$21,$C$21,$E$14)</f>
        <v>1.5628915814088666</v>
      </c>
      <c r="E31" s="47" cm="1">
        <f t="array" aca="1" ref="E31" ca="1">[2]!HoadleyOptions2("P",1,$H$24,B31,$E$7,$E$8,$C31,$E$10,"c",$E$14)</f>
        <v>1.0889166263343402</v>
      </c>
      <c r="F31" s="47" cm="1">
        <f t="array" aca="1" ref="F31" ca="1">[2]!HoadleySABROption("P",$H$24,$E$4,$B31,$E$7,$E$8,$E$9,$E$10,$E$11,$B$21,$C$21,$E$14)</f>
        <v>1.0891739143389378</v>
      </c>
      <c r="G31" s="48" cm="1">
        <f t="array" aca="1" ref="G31" ca="1">[2]!HoadleyOptions2("D",1,$H$24,B31,$E$7,$E$8,$C31,$E$10,"c",$E$14)</f>
        <v>0.71573308833818705</v>
      </c>
      <c r="H31" s="48" cm="1">
        <f t="array" aca="1" ref="H31" ca="1">[2]!HoadleySABROption("D",$H$24,$E$4,$B31,$E$7,$E$8,$E$9,$E$10,$E$11,$B$21,$C$21,$E$14)</f>
        <v>0.72563009384386534</v>
      </c>
    </row>
    <row r="32" spans="2:76" x14ac:dyDescent="0.25">
      <c r="B32" s="43">
        <v>5</v>
      </c>
      <c r="C32" s="45">
        <v>1.5167411048286779</v>
      </c>
      <c r="D32" s="46" cm="1">
        <f t="array" aca="1" ref="D32" ca="1">[2]!HoadleySABRBlackVol($E$4,$B32,$E$7,$E$8,$E$9,$E$10,$E$11,$B$21,$C$21,$E$14)</f>
        <v>1.5712150043733326</v>
      </c>
      <c r="E32" s="47" cm="1">
        <f t="array" aca="1" ref="E32" ca="1">[2]!HoadleyOptions2("P",1,$H$24,B32,$E$7,$E$8,$C32,$E$10,"c",$E$14)</f>
        <v>0.61688247260885865</v>
      </c>
      <c r="F32" s="47" cm="1">
        <f t="array" aca="1" ref="F32" ca="1">[2]!HoadleySABROption("P",$H$24,$E$4,$B32,$E$7,$E$8,$E$9,$E$10,$E$11,$B$21,$C$21,$E$14)</f>
        <v>0.64398494713463217</v>
      </c>
      <c r="G32" s="48" cm="1">
        <f t="array" aca="1" ref="G32" ca="1">[2]!HoadleyOptions2("D",1,$H$24,B32,$E$7,$E$8,$C32,$E$10,"c",$E$14)</f>
        <v>0.51111456627108232</v>
      </c>
      <c r="H32" s="48" cm="1">
        <f t="array" aca="1" ref="H32" ca="1">[2]!HoadleySABROption("D",$H$24,$E$4,$B32,$E$7,$E$8,$E$9,$E$10,$E$11,$B$21,$C$21,$E$14)</f>
        <v>0.49219483166665912</v>
      </c>
    </row>
    <row r="33" spans="2:13" x14ac:dyDescent="0.25">
      <c r="B33" s="43">
        <v>6</v>
      </c>
      <c r="C33" s="45">
        <v>1.5694606306932111</v>
      </c>
      <c r="D33" s="46" cm="1">
        <f t="array" aca="1" ref="D33" ca="1">[2]!HoadleySABRBlackVol($E$4,$B33,$E$7,$E$8,$E$9,$E$10,$E$11,$B$21,$C$21,$E$14)</f>
        <v>1.6346167663569944</v>
      </c>
      <c r="E33" s="47" cm="1">
        <f t="array" aca="1" ref="E33" ca="1">[2]!HoadleyOptions2("P",1,$H$24,B33,$E$7,$E$8,$C33,$E$10,"c",$E$14)</f>
        <v>0.36935915488047177</v>
      </c>
      <c r="F33" s="47" cm="1">
        <f t="array" aca="1" ref="F33" ca="1">[2]!HoadleySABROption("P",$H$24,$E$4,$B33,$E$7,$E$8,$E$9,$E$10,$E$11,$B$21,$C$21,$E$14)</f>
        <v>0.39959713148524972</v>
      </c>
      <c r="G33" s="48" cm="1">
        <f t="array" aca="1" ref="G33" ca="1">[2]!HoadleyOptions2("D",1,$H$24,B33,$E$7,$E$8,$C33,$E$10,"c",$E$14)</f>
        <v>0.34786882640754713</v>
      </c>
      <c r="H33" s="48" cm="1">
        <f t="array" aca="1" ref="H33" ca="1">[2]!HoadleySABROption("D",$H$24,$E$4,$B33,$E$7,$E$8,$E$9,$E$10,$E$11,$B$21,$C$21,$E$14)</f>
        <v>0.31173732905840912</v>
      </c>
    </row>
    <row r="34" spans="2:13" x14ac:dyDescent="0.25">
      <c r="B34" s="43">
        <v>7</v>
      </c>
      <c r="C34" s="45">
        <v>1.6706674331153575</v>
      </c>
      <c r="D34" s="46" cm="1">
        <f t="array" aca="1" ref="D34" ca="1">[2]!HoadleySABRBlackVol($E$4,$B34,$E$7,$E$8,$E$9,$E$10,$E$11,$B$21,$C$21,$E$14)</f>
        <v>1.7200679873649782</v>
      </c>
      <c r="E34" s="47" cm="1">
        <f t="array" aca="1" ref="E34" ca="1">[2]!HoadleyOptions2("P",1,$H$24,B34,$E$7,$E$8,$C34,$E$10,"c",$E$14)</f>
        <v>0.24882601206133159</v>
      </c>
      <c r="F34" s="47" cm="1">
        <f t="array" aca="1" ref="F34" ca="1">[2]!HoadleySABROption("P",$H$24,$E$4,$B34,$E$7,$E$8,$E$9,$E$10,$E$11,$B$21,$C$21,$E$14)</f>
        <v>0.26850690416616757</v>
      </c>
      <c r="G34" s="48" cm="1">
        <f t="array" aca="1" ref="G34" ca="1">[2]!HoadleyOptions2("D",1,$H$24,B34,$E$7,$E$8,$C34,$E$10,"c",$E$14)</f>
        <v>0.24696256028109009</v>
      </c>
      <c r="H34" s="48" cm="1">
        <f t="array" aca="1" ref="H34" ca="1">[2]!HoadleySABROption("D",$H$24,$E$4,$B34,$E$7,$E$8,$E$9,$E$10,$E$11,$B$21,$C$21,$E$14)</f>
        <v>0.20237841771733878</v>
      </c>
    </row>
    <row r="35" spans="2:13" x14ac:dyDescent="0.25">
      <c r="B35" s="43">
        <v>8</v>
      </c>
      <c r="C35" s="45">
        <v>1.7858209804129861</v>
      </c>
      <c r="D35" s="46" cm="1">
        <f t="array" aca="1" ref="D35" ca="1">[2]!HoadleySABRBlackVol($E$4,$B35,$E$7,$E$8,$E$9,$E$10,$E$11,$B$21,$C$21,$E$14)</f>
        <v>1.8103206261368656</v>
      </c>
      <c r="E35" s="47" cm="1">
        <f t="array" aca="1" ref="E35" ca="1">[2]!HoadleyOptions2("P",1,$H$24,B35,$E$7,$E$8,$C35,$E$10,"c",$E$14)</f>
        <v>0.18601329834205771</v>
      </c>
      <c r="F35" s="47" cm="1">
        <f t="array" aca="1" ref="F35" ca="1">[2]!HoadleySABROption("P",$H$24,$E$4,$B35,$E$7,$E$8,$E$9,$E$10,$E$11,$B$21,$C$21,$E$14)</f>
        <v>0.19430433833148661</v>
      </c>
      <c r="G35" s="48" cm="1">
        <f t="array" aca="1" ref="G35" ca="1">[2]!HoadleyOptions2("D",1,$H$24,B35,$E$7,$E$8,$C35,$E$10,"c",$E$14)</f>
        <v>0.18726330990087636</v>
      </c>
      <c r="H35" s="48" cm="1">
        <f t="array" aca="1" ref="H35" ca="1">[2]!HoadleySABROption("D",$H$24,$E$4,$B35,$E$7,$E$8,$E$9,$E$10,$E$11,$B$21,$C$21,$E$14)</f>
        <v>0.1390799783814553</v>
      </c>
    </row>
    <row r="36" spans="2:13" x14ac:dyDescent="0.25">
      <c r="B36" s="43">
        <v>9</v>
      </c>
      <c r="C36" s="45">
        <v>1.8552741875819401</v>
      </c>
      <c r="D36" s="46" cm="1">
        <f t="array" aca="1" ref="D36" ca="1">[2]!HoadleySABRBlackVol($E$4,$B36,$E$7,$E$8,$E$9,$E$10,$E$11,$B$21,$C$21,$E$14)</f>
        <v>1.8983381931801753</v>
      </c>
      <c r="E36" s="47" cm="1">
        <f t="array" aca="1" ref="E36" ca="1">[2]!HoadleyOptions2("P",1,$H$24,B36,$E$7,$E$8,$C36,$E$10,"c",$E$14)</f>
        <v>0.13687491622740366</v>
      </c>
      <c r="F36" s="47" cm="1">
        <f t="array" aca="1" ref="F36" ca="1">[2]!HoadleySABROption("P",$H$24,$E$4,$B36,$E$7,$E$8,$E$9,$E$10,$E$11,$B$21,$C$21,$E$14)</f>
        <v>0.149170044271975</v>
      </c>
      <c r="G36" s="48" cm="1">
        <f t="array" aca="1" ref="G36" ca="1">[2]!HoadleyOptions2("D",1,$H$24,B36,$E$7,$E$8,$C36,$E$10,"c",$E$14)</f>
        <v>0.14174521369582305</v>
      </c>
      <c r="H36" s="48" cm="1">
        <f t="array" aca="1" ref="H36" ca="1">[2]!HoadleySABROption("D",$H$24,$E$4,$B36,$E$7,$E$8,$E$9,$E$10,$E$11,$B$21,$C$21,$E$14)</f>
        <v>0.10119079026792988</v>
      </c>
    </row>
    <row r="37" spans="2:13" x14ac:dyDescent="0.25">
      <c r="B37" s="43">
        <v>10</v>
      </c>
      <c r="C37" s="45">
        <v>1.9623790530883933</v>
      </c>
      <c r="D37" s="46" cm="1">
        <f t="array" aca="1" ref="D37" ca="1">[2]!HoadleySABRBlackVol($E$4,$B37,$E$7,$E$8,$E$9,$E$10,$E$11,$B$21,$C$21,$E$14)</f>
        <v>1.9816645492006362</v>
      </c>
      <c r="E37" s="47" cm="1">
        <f t="array" aca="1" ref="E37" ca="1">[2]!HoadleyOptions2("P",1,$H$24,B37,$E$7,$E$8,$C37,$E$10,"c",$E$14)</f>
        <v>0.11503303368108242</v>
      </c>
      <c r="F37" s="47" cm="1">
        <f t="array" aca="1" ref="F37" ca="1">[2]!HoadleySABROption("P",$H$24,$E$4,$B37,$E$7,$E$8,$E$9,$E$10,$E$11,$B$21,$C$21,$E$14)</f>
        <v>0.11983398924593971</v>
      </c>
      <c r="G37" s="48" cm="1">
        <f t="array" aca="1" ref="G37" ca="1">[2]!HoadleyOptions2("D",1,$H$24,B37,$E$7,$E$8,$C37,$E$10,"c",$E$14)</f>
        <v>0.11789172580945806</v>
      </c>
      <c r="H37" s="48" cm="1">
        <f t="array" aca="1" ref="H37" ca="1">[2]!HoadleySABROption("D",$H$24,$E$4,$B37,$E$7,$E$8,$E$9,$E$10,$E$11,$B$21,$C$21,$E$14)</f>
        <v>7.7274876731309172E-2</v>
      </c>
    </row>
    <row r="38" spans="2:13" x14ac:dyDescent="0.25">
      <c r="B38" s="43">
        <v>11</v>
      </c>
      <c r="C38" s="45">
        <v>2.0638675176271182</v>
      </c>
      <c r="D38" s="46" cm="1">
        <f t="array" aca="1" ref="D38" ca="1">[2]!HoadleySABRBlackVol($E$4,$B38,$E$7,$E$8,$E$9,$E$10,$E$11,$B$21,$C$21,$E$14)</f>
        <v>2.0596929888488713</v>
      </c>
      <c r="E38" s="47" cm="1">
        <f t="array" aca="1" ref="E38" ca="1">[2]!HoadleyOptions2("P",1,$H$24,B38,$E$7,$E$8,$C38,$E$10,"c",$E$14)</f>
        <v>0.1006003239411366</v>
      </c>
      <c r="F38" s="47" cm="1">
        <f t="array" aca="1" ref="F38" ca="1">[2]!HoadleySABROption("P",$H$24,$E$4,$B38,$E$7,$E$8,$E$9,$E$10,$E$11,$B$21,$C$21,$E$14)</f>
        <v>9.9676561046347048E-2</v>
      </c>
      <c r="G38" s="48" cm="1">
        <f t="array" aca="1" ref="G38" ca="1">[2]!HoadleyOptions2("D",1,$H$24,B38,$E$7,$E$8,$C38,$E$10,"c",$E$14)</f>
        <v>0.10161888755013715</v>
      </c>
      <c r="H38" s="48" cm="1">
        <f t="array" aca="1" ref="H38" ca="1">[2]!HoadleySABROption("D",$H$24,$E$4,$B38,$E$7,$E$8,$E$9,$E$10,$E$11,$B$21,$C$21,$E$14)</f>
        <v>6.1371694511400815E-2</v>
      </c>
    </row>
    <row r="39" spans="2:13" x14ac:dyDescent="0.25">
      <c r="B39" s="43">
        <v>12</v>
      </c>
      <c r="C39" s="45">
        <v>2.1009791282799037</v>
      </c>
      <c r="D39" s="46" cm="1">
        <f t="array" aca="1" ref="D39" ca="1">[2]!HoadleySABRBlackVol($E$4,$B39,$E$7,$E$8,$E$9,$E$10,$E$11,$B$21,$C$21,$E$14)</f>
        <v>2.1325335332228845</v>
      </c>
      <c r="E39" s="47" cm="1">
        <f t="array" aca="1" ref="E39" ca="1">[2]!HoadleyOptions2("P",1,$H$24,B39,$E$7,$E$8,$C39,$E$10,"c",$E$14)</f>
        <v>7.9116113163110346E-2</v>
      </c>
      <c r="F39" s="47" cm="1">
        <f t="array" aca="1" ref="F39" ca="1">[2]!HoadleySABROption("P",$H$24,$E$4,$B39,$E$7,$E$8,$E$9,$E$10,$E$11,$B$21,$C$21,$E$14)</f>
        <v>8.5181977838048553E-2</v>
      </c>
      <c r="G39" s="48" cm="1">
        <f t="array" aca="1" ref="G39" ca="1">[2]!HoadleyOptions2("D",1,$H$24,B39,$E$7,$E$8,$C39,$E$10,"c",$E$14)</f>
        <v>8.1657999974139361E-2</v>
      </c>
      <c r="H39" s="48" cm="1">
        <f t="array" aca="1" ref="H39" ca="1">[2]!HoadleySABROption("D",$H$24,$E$4,$B39,$E$7,$E$8,$E$9,$E$10,$E$11,$B$21,$C$21,$E$14)</f>
        <v>5.0301629504093115E-2</v>
      </c>
    </row>
    <row r="40" spans="2:13" x14ac:dyDescent="0.25">
      <c r="B40" s="43">
        <v>13</v>
      </c>
      <c r="C40" s="45">
        <v>2.2013888415855472</v>
      </c>
      <c r="D40" s="46" cm="1">
        <f t="array" aca="1" ref="D40" ca="1">[2]!HoadleySABRBlackVol($E$4,$B40,$E$7,$E$8,$E$9,$E$10,$E$11,$B$21,$C$21,$E$14)</f>
        <v>2.2005533889334661</v>
      </c>
      <c r="E40" s="47" cm="1">
        <f t="array" aca="1" ref="E40" ca="1">[2]!HoadleyOptions2("P",1,$H$24,B40,$E$7,$E$8,$C40,$E$10,"c",$E$14)</f>
        <v>7.4513730125733812E-2</v>
      </c>
      <c r="F40" s="47" cm="1">
        <f t="array" aca="1" ref="F40" ca="1">[2]!HoadleySABROption("P",$H$24,$E$4,$B40,$E$7,$E$8,$E$9,$E$10,$E$11,$B$21,$C$21,$E$14)</f>
        <v>7.4365077305517613E-2</v>
      </c>
      <c r="G40" s="48" cm="1">
        <f t="array" aca="1" ref="G40" ca="1">[2]!HoadleyOptions2("D",1,$H$24,B40,$E$7,$E$8,$C40,$E$10,"c",$E$14)</f>
        <v>7.5042483815186412E-2</v>
      </c>
      <c r="H40" s="48" cm="1">
        <f t="array" aca="1" ref="H40" ca="1">[2]!HoadleySABROption("D",$H$24,$E$4,$B40,$E$7,$E$8,$E$9,$E$10,$E$11,$B$21,$C$21,$E$14)</f>
        <v>4.229060055772893E-2</v>
      </c>
    </row>
    <row r="41" spans="2:13" x14ac:dyDescent="0.25">
      <c r="B41" s="43">
        <v>14</v>
      </c>
      <c r="C41" s="45">
        <v>2.2733617468133551</v>
      </c>
      <c r="D41" s="46" cm="1">
        <f t="array" aca="1" ref="D41" ca="1">[2]!HoadleySABRBlackVol($E$4,$B41,$E$7,$E$8,$E$9,$E$10,$E$11,$B$21,$C$21,$E$14)</f>
        <v>2.2641897364724501</v>
      </c>
      <c r="E41" s="47" cm="1">
        <f t="array" aca="1" ref="E41" ca="1">[2]!HoadleyOptions2("P",1,$H$24,B41,$E$7,$E$8,$C41,$E$10,"c",$E$14)</f>
        <v>6.7525349980501109E-2</v>
      </c>
      <c r="F41" s="47" cm="1">
        <f t="array" aca="1" ref="F41" ca="1">[2]!HoadleySABROption("P",$H$24,$E$4,$B41,$E$7,$E$8,$E$9,$E$10,$E$11,$B$21,$C$21,$E$14)</f>
        <v>6.6042132337139445E-2</v>
      </c>
      <c r="G41" s="48" cm="1">
        <f t="array" aca="1" ref="G41" ca="1">[2]!HoadleyOptions2("D",1,$H$24,B41,$E$7,$E$8,$C41,$E$10,"c",$E$14)</f>
        <v>6.7349346065024407E-2</v>
      </c>
      <c r="H41" s="48" cm="1">
        <f t="array" aca="1" ref="H41" ca="1">[2]!HoadleySABROption("D",$H$24,$E$4,$B41,$E$7,$E$8,$E$9,$E$10,$E$11,$B$21,$C$21,$E$14)</f>
        <v>3.6300398049347871E-2</v>
      </c>
    </row>
    <row r="42" spans="2:13" x14ac:dyDescent="0.25">
      <c r="B42" s="43">
        <v>15</v>
      </c>
      <c r="C42" s="45">
        <v>2.3292902106623168</v>
      </c>
      <c r="D42" s="46" cm="1">
        <f t="array" aca="1" ref="D42" ca="1">[2]!HoadleySABRBlackVol($E$4,$B42,$E$7,$E$8,$E$9,$E$10,$E$11,$B$21,$C$21,$E$14)</f>
        <v>2.3238744091472867</v>
      </c>
      <c r="E42" s="47" cm="1">
        <f t="array" aca="1" ref="E42" ca="1">[2]!HoadleyOptions2("P",1,$H$24,B42,$E$7,$E$8,$C42,$E$10,"c",$E$14)</f>
        <v>6.0275389608051372E-2</v>
      </c>
      <c r="F42" s="47" cm="1">
        <f t="array" aca="1" ref="F42" ca="1">[2]!HoadleySABROption("P",$H$24,$E$4,$B42,$E$7,$E$8,$E$9,$E$10,$E$11,$B$21,$C$21,$E$14)</f>
        <v>5.947318470601299E-2</v>
      </c>
      <c r="G42" s="48" cm="1">
        <f t="array" aca="1" ref="G42" ca="1">[2]!HoadleyOptions2("D",1,$H$24,B42,$E$7,$E$8,$C42,$E$10,"c",$E$14)</f>
        <v>5.995098433857704E-2</v>
      </c>
      <c r="H42" s="48" cm="1">
        <f t="array" aca="1" ref="H42" ca="1">[2]!HoadleySABROption("D",$H$24,$E$4,$B42,$E$7,$E$8,$E$9,$E$10,$E$11,$B$21,$C$21,$E$14)</f>
        <v>3.1695758063497378E-2</v>
      </c>
    </row>
    <row r="43" spans="2:13" x14ac:dyDescent="0.25">
      <c r="B43" s="43">
        <v>16</v>
      </c>
      <c r="C43" s="45">
        <v>2.41929217926076</v>
      </c>
      <c r="D43" s="46" cm="1">
        <f t="array" aca="1" ref="D43" ca="1">[2]!HoadleySABRBlackVol($E$4,$B43,$E$7,$E$8,$E$9,$E$10,$E$11,$B$21,$C$21,$E$14)</f>
        <v>2.3800056110389654</v>
      </c>
      <c r="E43" s="47" cm="1">
        <f t="array" aca="1" ref="E43" ca="1">[2]!HoadleyOptions2("P",1,$H$24,B43,$E$7,$E$8,$C43,$E$10,"c",$E$14)</f>
        <v>5.9694380598615704E-2</v>
      </c>
      <c r="F43" s="47" cm="1">
        <f t="array" aca="1" ref="F43" ca="1">[2]!HoadleySABROption("P",$H$24,$E$4,$B43,$E$7,$E$8,$E$9,$E$10,$E$11,$B$21,$C$21,$E$14)</f>
        <v>5.4176526604391949E-2</v>
      </c>
      <c r="G43" s="48" cm="1">
        <f t="array" aca="1" ref="G43" ca="1">[2]!HoadleyOptions2("D",1,$H$24,B43,$E$7,$E$8,$C43,$E$10,"c",$E$14)</f>
        <v>5.7886465382095409E-2</v>
      </c>
      <c r="H43" s="48" cm="1">
        <f t="array" aca="1" ref="H43" ca="1">[2]!HoadleySABROption("D",$H$24,$E$4,$B43,$E$7,$E$8,$E$9,$E$10,$E$11,$B$21,$C$21,$E$14)</f>
        <v>2.8072142544120771E-2</v>
      </c>
    </row>
    <row r="44" spans="2:13" x14ac:dyDescent="0.25">
      <c r="B44" s="43">
        <v>17</v>
      </c>
      <c r="C44" s="45">
        <v>2.4452560130816212</v>
      </c>
      <c r="D44" s="46" cm="1">
        <f t="array" aca="1" ref="D44" ca="1">[2]!HoadleySABRBlackVol($E$4,$B44,$E$7,$E$8,$E$9,$E$10,$E$11,$B$21,$C$21,$E$14)</f>
        <v>2.4329396344082683</v>
      </c>
      <c r="E44" s="47" cm="1">
        <f t="array" aca="1" ref="E44" ca="1">[2]!HoadleyOptions2("P",1,$H$24,B44,$E$7,$E$8,$C44,$E$10,"c",$E$14)</f>
        <v>5.1407110927182476E-2</v>
      </c>
      <c r="F44" s="47" cm="1">
        <f t="array" aca="1" ref="F44" ca="1">[2]!HoadleySABROption("P",$H$24,$E$4,$B44,$E$7,$E$8,$E$9,$E$10,$E$11,$B$21,$C$21,$E$14)</f>
        <v>4.9827424594668615E-2</v>
      </c>
      <c r="G44" s="48" cm="1">
        <f t="array" aca="1" ref="G44" ca="1">[2]!HoadleyOptions2("D",1,$H$24,B44,$E$7,$E$8,$C44,$E$10,"c",$E$14)</f>
        <v>5.0366739001600491E-2</v>
      </c>
      <c r="H44" s="48" cm="1">
        <f t="array" aca="1" ref="H44" ca="1">[2]!HoadleySABROption("D",$H$24,$E$4,$B44,$E$7,$E$8,$E$9,$E$10,$E$11,$B$21,$C$21,$E$14)</f>
        <v>2.5162706569156409E-2</v>
      </c>
    </row>
    <row r="45" spans="2:13" x14ac:dyDescent="0.25">
      <c r="B45" s="43">
        <v>18</v>
      </c>
      <c r="C45" s="45">
        <v>2.4841924598676566</v>
      </c>
      <c r="D45" s="46" cm="1">
        <f t="array" aca="1" ref="D45" ca="1">[2]!HoadleySABRBlackVol($E$4,$B45,$E$7,$E$8,$E$9,$E$10,$E$11,$B$21,$C$21,$E$14)</f>
        <v>2.4829909514593944</v>
      </c>
      <c r="E45" s="47" cm="1">
        <f t="array" aca="1" ref="E45" ca="1">[2]!HoadleyOptions2("P",1,$H$24,B45,$E$7,$E$8,$C45,$E$10,"c",$E$14)</f>
        <v>4.6343514242304651E-2</v>
      </c>
      <c r="F45" s="47" cm="1">
        <f t="array" aca="1" ref="F45" ca="1">[2]!HoadleySABROption("P",$H$24,$E$4,$B45,$E$7,$E$8,$E$9,$E$10,$E$11,$B$21,$C$21,$E$14)</f>
        <v>4.6200253368554892E-2</v>
      </c>
      <c r="G45" s="48" cm="1">
        <f t="array" aca="1" ref="G45" ca="1">[2]!HoadleyOptions2("D",1,$H$24,B45,$E$7,$E$8,$C45,$E$10,"c",$E$14)</f>
        <v>4.5442545948741531E-2</v>
      </c>
      <c r="H45" s="48" cm="1">
        <f t="array" aca="1" ref="H45" ca="1">[2]!HoadleySABROption("D",$H$24,$E$4,$B45,$E$7,$E$8,$E$9,$E$10,$E$11,$B$21,$C$21,$E$14)</f>
        <v>2.2785898896780787E-2</v>
      </c>
      <c r="M45" s="1" t="s">
        <v>125</v>
      </c>
    </row>
    <row r="46" spans="2:13" x14ac:dyDescent="0.25">
      <c r="B46" s="43">
        <v>19</v>
      </c>
      <c r="C46" s="45">
        <v>2.5351885371555145</v>
      </c>
      <c r="D46" s="46" cm="1">
        <f t="array" aca="1" ref="D46" ca="1">[2]!HoadleySABRBlackVol($E$4,$B46,$E$7,$E$8,$E$9,$E$10,$E$11,$B$21,$C$21,$E$14)</f>
        <v>2.5304355746897715</v>
      </c>
      <c r="E46" s="47" cm="1">
        <f t="array" aca="1" ref="E46" ca="1">[2]!HoadleyOptions2("P",1,$H$24,B46,$E$7,$E$8,$C46,$E$10,"c",$E$14)</f>
        <v>4.3668722075745514E-2</v>
      </c>
      <c r="F46" s="47" cm="1">
        <f t="array" aca="1" ref="F46" ca="1">[2]!HoadleySABROption("P",$H$24,$E$4,$B46,$E$7,$E$8,$E$9,$E$10,$E$11,$B$21,$C$21,$E$14)</f>
        <v>4.3134073212997753E-2</v>
      </c>
      <c r="G46" s="48" cm="1">
        <f t="array" aca="1" ref="G46" ca="1">[2]!HoadleyOptions2("D",1,$H$24,B46,$E$7,$E$8,$C46,$E$10,"c",$E$14)</f>
        <v>4.2493147894023031E-2</v>
      </c>
      <c r="H46" s="48" cm="1">
        <f t="array" aca="1" ref="H46" ca="1">[2]!HoadleySABROption("D",$H$24,$E$4,$B46,$E$7,$E$8,$E$9,$E$10,$E$11,$B$21,$C$21,$E$14)</f>
        <v>2.0814789755348867E-2</v>
      </c>
    </row>
    <row r="47" spans="2:13" x14ac:dyDescent="0.25">
      <c r="B47" s="43">
        <v>20</v>
      </c>
      <c r="C47" s="45">
        <v>2.6113066843516299</v>
      </c>
      <c r="D47" s="46" cm="1">
        <f t="array" aca="1" ref="D47" ca="1">[2]!HoadleySABRBlackVol($E$4,$B47,$E$7,$E$8,$E$9,$E$10,$E$11,$B$21,$C$21,$E$14)</f>
        <v>2.5755154310902477</v>
      </c>
      <c r="E47" s="47" cm="1">
        <f t="array" aca="1" ref="E47" ca="1">[2]!HoadleyOptions2("P",1,$H$24,B47,$E$7,$E$8,$C47,$E$10,"c",$E$14)</f>
        <v>4.442006574471985E-2</v>
      </c>
      <c r="F47" s="47" cm="1">
        <f t="array" aca="1" ref="F47" ca="1">[2]!HoadleySABROption("P",$H$24,$E$4,$B47,$E$7,$E$8,$E$9,$E$10,$E$11,$B$21,$C$21,$E$14)</f>
        <v>4.051141173112574E-2</v>
      </c>
      <c r="G47" s="48" cm="1">
        <f t="array" aca="1" ref="G47" ca="1">[2]!HoadleyOptions2("D",1,$H$24,B47,$E$7,$E$8,$C47,$E$10,"c",$E$14)</f>
        <v>4.2253309013414064E-2</v>
      </c>
      <c r="H47" s="48" cm="1">
        <f t="array" aca="1" ref="H47" ca="1">[2]!HoadleySABROption("D",$H$24,$E$4,$B47,$E$7,$E$8,$E$9,$E$10,$E$11,$B$21,$C$21,$E$14)</f>
        <v>1.9158479167240977E-2</v>
      </c>
    </row>
    <row r="48" spans="2:13" x14ac:dyDescent="0.25">
      <c r="B48" s="43">
        <v>21</v>
      </c>
      <c r="C48" s="45">
        <v>2.6570230894981339</v>
      </c>
      <c r="D48" s="46" cm="1">
        <f t="array" aca="1" ref="D48" ca="1">[2]!HoadleySABRBlackVol($E$4,$B48,$E$7,$E$8,$E$9,$E$10,$E$11,$B$21,$C$21,$E$14)</f>
        <v>2.618442774749588</v>
      </c>
      <c r="E48" s="47" cm="1">
        <f t="array" aca="1" ref="E48" ca="1">[2]!HoadleyOptions2("P",1,$H$24,B48,$E$7,$E$8,$C48,$E$10,"c",$E$14)</f>
        <v>4.2257928301535075E-2</v>
      </c>
      <c r="F48" s="47" cm="1">
        <f t="array" aca="1" ref="F48" ca="1">[2]!HoadleySABROption("P",$H$24,$E$4,$B48,$E$7,$E$8,$E$9,$E$10,$E$11,$B$21,$C$21,$E$14)</f>
        <v>3.8244766479825033E-2</v>
      </c>
      <c r="G48" s="48" cm="1">
        <f t="array" aca="1" ref="G48" ca="1">[2]!HoadleyOptions2("D",1,$H$24,B48,$E$7,$E$8,$C48,$E$10,"c",$E$14)</f>
        <v>3.9927965388514508E-2</v>
      </c>
      <c r="H48" s="48" cm="1">
        <f t="array" aca="1" ref="H48" ca="1">[2]!HoadleySABROption("D",$H$24,$E$4,$B48,$E$7,$E$8,$E$9,$E$10,$E$11,$B$21,$C$21,$E$14)</f>
        <v>1.7750468224106419E-2</v>
      </c>
    </row>
    <row r="49" spans="2:8" x14ac:dyDescent="0.25">
      <c r="B49" s="43">
        <v>22</v>
      </c>
      <c r="C49" s="45">
        <v>2.6742397000919071</v>
      </c>
      <c r="D49" s="46" cm="1">
        <f t="array" aca="1" ref="D49" ca="1">[2]!HoadleySABRBlackVol($E$4,$B49,$E$7,$E$8,$E$9,$E$10,$E$11,$B$21,$C$21,$E$14)</f>
        <v>2.65940424500607</v>
      </c>
      <c r="E49" s="47" cm="1">
        <f t="array" aca="1" ref="E49" ca="1">[2]!HoadleyOptions2("P",1,$H$24,B49,$E$7,$E$8,$C49,$E$10,"c",$E$14)</f>
        <v>3.770956378297699E-2</v>
      </c>
      <c r="F49" s="47" cm="1">
        <f t="array" aca="1" ref="F49" ca="1">[2]!HoadleySABROption("P",$H$24,$E$4,$B49,$E$7,$E$8,$E$9,$E$10,$E$11,$B$21,$C$21,$E$14)</f>
        <v>3.6267775571252582E-2</v>
      </c>
      <c r="G49" s="48" cm="1">
        <f t="array" aca="1" ref="G49" ca="1">[2]!HoadleyOptions2("D",1,$H$24,B49,$E$7,$E$8,$C49,$E$10,"c",$E$14)</f>
        <v>3.5905588965237989E-2</v>
      </c>
      <c r="H49" s="48" cm="1">
        <f t="array" aca="1" ref="H49" ca="1">[2]!HoadleySABROption("D",$H$24,$E$4,$B49,$E$7,$E$8,$E$9,$E$10,$E$11,$B$21,$C$21,$E$14)</f>
        <v>1.6541177323687456E-2</v>
      </c>
    </row>
    <row r="50" spans="2:8" x14ac:dyDescent="0.25">
      <c r="B50" s="43">
        <v>23</v>
      </c>
      <c r="C50" s="45">
        <v>2.75557269736407</v>
      </c>
      <c r="D50" s="46" cm="1">
        <f t="array" aca="1" ref="D50" ca="1">[2]!HoadleySABRBlackVol($E$4,$B50,$E$7,$E$8,$E$9,$E$10,$E$11,$B$21,$C$21,$E$14)</f>
        <v>2.6985644424690802</v>
      </c>
      <c r="E50" s="47" cm="1">
        <f t="array" aca="1" ref="E50" ca="1">[2]!HoadleyOptions2("P",1,$H$24,B50,$E$7,$E$8,$C50,$E$10,"c",$E$14)</f>
        <v>4.0025603165164708E-2</v>
      </c>
      <c r="F50" s="47" cm="1">
        <f t="array" aca="1" ref="F50" ca="1">[2]!HoadleySABROption("P",$H$24,$E$4,$B50,$E$7,$E$8,$E$9,$E$10,$E$11,$B$21,$C$21,$E$14)</f>
        <v>3.4529295966118929E-2</v>
      </c>
      <c r="G50" s="48" cm="1">
        <f t="array" aca="1" ref="G50" ca="1">[2]!HoadleyOptions2("D",1,$H$24,B50,$E$7,$E$8,$C50,$E$10,"c",$E$14)</f>
        <v>3.7081475728991786E-2</v>
      </c>
      <c r="H50" s="48" cm="1">
        <f t="array" aca="1" ref="H50" ca="1">[2]!HoadleySABROption("D",$H$24,$E$4,$B50,$E$7,$E$8,$E$9,$E$10,$E$11,$B$21,$C$21,$E$14)</f>
        <v>1.5493008701076769E-2</v>
      </c>
    </row>
    <row r="51" spans="2:8" x14ac:dyDescent="0.25">
      <c r="B51" s="43">
        <v>24</v>
      </c>
      <c r="C51" s="45">
        <v>2.7567501253031463</v>
      </c>
      <c r="D51" s="46" cm="1">
        <f t="array" aca="1" ref="D51" ca="1">[2]!HoadleySABRBlackVol($E$4,$B51,$E$7,$E$8,$E$9,$E$10,$E$11,$B$21,$C$21,$E$14)</f>
        <v>2.7360690129908587</v>
      </c>
      <c r="E51" s="47" cm="1">
        <f t="array" aca="1" ref="E51" ca="1">[2]!HoadleyOptions2("P",1,$H$24,B51,$E$7,$E$8,$C51,$E$10,"c",$E$14)</f>
        <v>3.4842501021500272E-2</v>
      </c>
      <c r="F51" s="47" cm="1">
        <f t="array" aca="1" ref="F51" ca="1">[2]!HoadleySABROption("P",$H$24,$E$4,$B51,$E$7,$E$8,$E$9,$E$10,$E$11,$B$21,$C$21,$E$14)</f>
        <v>3.2989342111764838E-2</v>
      </c>
      <c r="G51" s="48" cm="1">
        <f t="array" aca="1" ref="G51" ca="1">[2]!HoadleyOptions2("D",1,$H$24,B51,$E$7,$E$8,$C51,$E$10,"c",$E$14)</f>
        <v>3.2742543571327443E-2</v>
      </c>
      <c r="H51" s="48" cm="1">
        <f t="array" aca="1" ref="H51" ca="1">[2]!HoadleySABROption("D",$H$24,$E$4,$B51,$E$7,$E$8,$E$9,$E$10,$E$11,$B$21,$C$21,$E$14)</f>
        <v>1.4577012545837278E-2</v>
      </c>
    </row>
    <row r="52" spans="2:8" x14ac:dyDescent="0.25">
      <c r="B52" s="43">
        <v>25</v>
      </c>
      <c r="C52" s="45">
        <v>2.817970837629352</v>
      </c>
      <c r="D52" s="46" cm="1">
        <f t="array" aca="1" ref="D52" ca="1">[2]!HoadleySABRBlackVol($E$4,$B52,$E$7,$E$8,$E$9,$E$10,$E$11,$B$21,$C$21,$E$14)</f>
        <v>2.7720472783329555</v>
      </c>
      <c r="E52" s="47" cm="1">
        <f t="array" aca="1" ref="E52" ca="1">[2]!HoadleyOptions2("P",1,$H$24,B52,$E$7,$E$8,$C52,$E$10,"c",$E$14)</f>
        <v>3.5663376941101596E-2</v>
      </c>
      <c r="F52" s="47" cm="1">
        <f t="array" aca="1" ref="F52" ca="1">[2]!HoadleySABROption("P",$H$24,$E$4,$B52,$E$7,$E$8,$E$9,$E$10,$E$11,$B$21,$C$21,$E$14)</f>
        <v>3.1616243858361967E-2</v>
      </c>
      <c r="G52" s="48" cm="1">
        <f t="array" aca="1" ref="G52" ca="1">[2]!HoadleyOptions2("D",1,$H$24,B52,$E$7,$E$8,$C52,$E$10,"c",$E$14)</f>
        <v>3.2921242856723265E-2</v>
      </c>
      <c r="H52" s="48" cm="1">
        <f t="array" aca="1" ref="H52" ca="1">[2]!HoadleySABROption("D",$H$24,$E$4,$B52,$E$7,$E$8,$E$9,$E$10,$E$11,$B$21,$C$21,$E$14)</f>
        <v>1.3770588779505114E-2</v>
      </c>
    </row>
    <row r="53" spans="2:8" x14ac:dyDescent="0.25">
      <c r="B53" s="43">
        <v>26</v>
      </c>
      <c r="C53" s="45">
        <v>2.8570159556149468</v>
      </c>
      <c r="D53" s="46" cm="1">
        <f t="array" aca="1" ref="D53" ca="1">[2]!HoadleySABRBlackVol($E$4,$B53,$E$7,$E$8,$E$9,$E$10,$E$11,$B$21,$C$21,$E$14)</f>
        <v>2.8066144687192116</v>
      </c>
      <c r="E53" s="47" cm="1">
        <f t="array" aca="1" ref="E53" ca="1">[2]!HoadleyOptions2("P",1,$H$24,B53,$E$7,$E$8,$C53,$E$10,"c",$E$14)</f>
        <v>3.4683603503203667E-2</v>
      </c>
      <c r="F53" s="47" cm="1">
        <f t="array" aca="1" ref="F53" ca="1">[2]!HoadleySABROption("P",$H$24,$E$4,$B53,$E$7,$E$8,$E$9,$E$10,$E$11,$B$21,$C$21,$E$14)</f>
        <v>3.0384621087928516E-2</v>
      </c>
      <c r="G53" s="48" cm="1">
        <f t="array" aca="1" ref="G53" ca="1">[2]!HoadleyOptions2("D",1,$H$24,B53,$E$7,$E$8,$C53,$E$10,"c",$E$14)</f>
        <v>3.1800214990758247E-2</v>
      </c>
      <c r="H53" s="48" cm="1">
        <f t="array" aca="1" ref="H53" ca="1">[2]!HoadleySABROption("D",$H$24,$E$4,$B53,$E$7,$E$8,$E$9,$E$10,$E$11,$B$21,$C$21,$E$14)</f>
        <v>1.3055872707916187E-2</v>
      </c>
    </row>
    <row r="54" spans="2:8" x14ac:dyDescent="0.25">
      <c r="B54" s="43">
        <v>27</v>
      </c>
      <c r="C54" s="45">
        <v>2.8353596349719745</v>
      </c>
      <c r="D54" s="46" cm="1">
        <f t="array" aca="1" ref="D54" ca="1">[2]!HoadleySABRBlackVol($E$4,$B54,$E$7,$E$8,$E$9,$E$10,$E$11,$B$21,$C$21,$E$14)</f>
        <v>2.8398736143005805</v>
      </c>
      <c r="E54" s="47" cm="1">
        <f t="array" aca="1" ref="E54" ca="1">[2]!HoadleyOptions2("P",1,$H$24,B54,$E$7,$E$8,$C54,$E$10,"c",$E$14)</f>
        <v>2.891815919466266E-2</v>
      </c>
      <c r="F54" s="47" cm="1">
        <f t="array" aca="1" ref="F54" ca="1">[2]!HoadleySABROption("P",$H$24,$E$4,$B54,$E$7,$E$8,$E$9,$E$10,$E$11,$B$21,$C$21,$E$14)</f>
        <v>2.927391632046299E-2</v>
      </c>
      <c r="G54" s="48" cm="1">
        <f t="array" aca="1" ref="G54" ca="1">[2]!HoadleyOptions2("D",1,$H$24,B54,$E$7,$E$8,$C54,$E$10,"c",$E$14)</f>
        <v>2.7147332926422685E-2</v>
      </c>
      <c r="H54" s="48" cm="1">
        <f t="array" aca="1" ref="H54" ca="1">[2]!HoadleySABROption("D",$H$24,$E$4,$B54,$E$7,$E$8,$E$9,$E$10,$E$11,$B$21,$C$21,$E$14)</f>
        <v>1.24185814765072E-2</v>
      </c>
    </row>
    <row r="55" spans="2:8" x14ac:dyDescent="0.25">
      <c r="B55" s="43">
        <v>28</v>
      </c>
      <c r="C55" s="45">
        <v>2.8922513472410065</v>
      </c>
      <c r="D55" s="46" cm="1">
        <f t="array" aca="1" ref="D55" ca="1">[2]!HoadleySABRBlackVol($E$4,$B55,$E$7,$E$8,$E$9,$E$10,$E$11,$B$21,$C$21,$E$14)</f>
        <v>2.8719171482193611</v>
      </c>
      <c r="E55" s="47" cm="1">
        <f t="array" aca="1" ref="E55" ca="1">[2]!HoadleyOptions2("P",1,$H$24,B55,$E$7,$E$8,$C55,$E$10,"c",$E$14)</f>
        <v>2.9844587548183713E-2</v>
      </c>
      <c r="F55" s="47" cm="1">
        <f t="array" aca="1" ref="F55" ca="1">[2]!HoadleySABROption("P",$H$24,$E$4,$B55,$E$7,$E$8,$E$9,$E$10,$E$11,$B$21,$C$21,$E$14)</f>
        <v>2.8267315450438188E-2</v>
      </c>
      <c r="G55" s="48" cm="1">
        <f t="array" aca="1" ref="G55" ca="1">[2]!HoadleyOptions2("D",1,$H$24,B55,$E$7,$E$8,$C55,$E$10,"c",$E$14)</f>
        <v>2.7541082392151917E-2</v>
      </c>
      <c r="H55" s="48" cm="1">
        <f t="array" aca="1" ref="H55" ca="1">[2]!HoadleySABROption("D",$H$24,$E$4,$B55,$E$7,$E$8,$E$9,$E$10,$E$11,$B$21,$C$21,$E$14)</f>
        <v>1.1847176809056011E-2</v>
      </c>
    </row>
    <row r="56" spans="2:8" x14ac:dyDescent="0.25">
      <c r="B56" s="43">
        <v>29</v>
      </c>
      <c r="C56" s="45">
        <v>2.9089993475215157</v>
      </c>
      <c r="D56" s="46" cm="1">
        <f t="array" aca="1" ref="D56" ca="1">[2]!HoadleySABRBlackVol($E$4,$B56,$E$7,$E$8,$E$9,$E$10,$E$11,$B$21,$C$21,$E$14)</f>
        <v>2.9028282674650581</v>
      </c>
      <c r="E56" s="47" cm="1">
        <f t="array" aca="1" ref="E56" ca="1">[2]!HoadleyOptions2("P",1,$H$24,B56,$E$7,$E$8,$C56,$E$10,"c",$E$14)</f>
        <v>2.780761603011371E-2</v>
      </c>
      <c r="F56" s="47" cm="1">
        <f t="array" aca="1" ref="F56" ca="1">[2]!HoadleySABROption("P",$H$24,$E$4,$B56,$E$7,$E$8,$E$9,$E$10,$E$11,$B$21,$C$21,$E$14)</f>
        <v>2.7350942944343412E-2</v>
      </c>
      <c r="G56" s="48" cm="1">
        <f t="array" aca="1" ref="G56" ca="1">[2]!HoadleyOptions2("D",1,$H$24,B56,$E$7,$E$8,$C56,$E$10,"c",$E$14)</f>
        <v>2.5734624793543159E-2</v>
      </c>
      <c r="H56" s="48" cm="1">
        <f t="array" aca="1" ref="H56" ca="1">[2]!HoadleySABROption("D",$H$24,$E$4,$B56,$E$7,$E$8,$E$9,$E$10,$E$11,$B$21,$C$21,$E$14)</f>
        <v>1.1332248541385918E-2</v>
      </c>
    </row>
    <row r="57" spans="2:8" x14ac:dyDescent="0.25">
      <c r="B57" s="43">
        <v>30</v>
      </c>
      <c r="C57" s="45">
        <v>2.944132908545837</v>
      </c>
      <c r="D57" s="46" cm="1">
        <f t="array" aca="1" ref="D57" ca="1">[2]!HoadleySABRBlackVol($E$4,$B57,$E$7,$E$8,$E$9,$E$10,$E$11,$B$21,$C$21,$E$14)</f>
        <v>2.9326820909150975</v>
      </c>
      <c r="E57" s="47" cm="1">
        <f t="array" aca="1" ref="E57" ca="1">[2]!HoadleyOptions2("P",1,$H$24,B57,$E$7,$E$8,$C57,$E$10,"c",$E$14)</f>
        <v>2.734132381456883E-2</v>
      </c>
      <c r="F57" s="47" cm="1">
        <f t="array" aca="1" ref="F57" ca="1">[2]!HoadleySABROption("P",$H$24,$E$4,$B57,$E$7,$E$8,$E$9,$E$10,$E$11,$B$21,$C$21,$E$14)</f>
        <v>2.6513254068713771E-2</v>
      </c>
      <c r="G57" s="48" cm="1">
        <f t="array" aca="1" ref="G57" ca="1">[2]!HoadleyOptions2("D",1,$H$24,B57,$E$7,$E$8,$C57,$E$10,"c",$E$14)</f>
        <v>2.5130893841787794E-2</v>
      </c>
      <c r="H57" s="48" cm="1">
        <f t="array" aca="1" ref="H57" ca="1">[2]!HoadleySABROption("D",$H$24,$E$4,$B57,$E$7,$E$8,$E$9,$E$10,$E$11,$B$21,$C$21,$E$14)</f>
        <v>1.0866054707804954E-2</v>
      </c>
    </row>
    <row r="58" spans="2:8" x14ac:dyDescent="0.25">
      <c r="B58" s="43">
        <v>31</v>
      </c>
      <c r="C58" s="45">
        <v>2.9595570336565813</v>
      </c>
      <c r="D58" s="46" cm="1">
        <f t="array" aca="1" ref="D58" ca="1">[2]!HoadleySABRBlackVol($E$4,$B58,$E$7,$E$8,$E$9,$E$10,$E$11,$B$21,$C$21,$E$14)</f>
        <v>2.9615466476479373</v>
      </c>
      <c r="E58" s="47" cm="1">
        <f t="array" aca="1" ref="E58" ca="1">[2]!HoadleyOptions2("P",1,$H$24,B58,$E$7,$E$8,$C58,$E$10,"c",$E$14)</f>
        <v>2.5603949894049211E-2</v>
      </c>
      <c r="F58" s="47" cm="1">
        <f t="array" aca="1" ref="F58" ca="1">[2]!HoadleySABROption("P",$H$24,$E$4,$B58,$E$7,$E$8,$E$9,$E$10,$E$11,$B$21,$C$21,$E$14)</f>
        <v>2.5744570538831668E-2</v>
      </c>
      <c r="G58" s="48" cm="1">
        <f t="array" aca="1" ref="G58" ca="1">[2]!HoadleyOptions2("D",1,$H$24,B58,$E$7,$E$8,$C58,$E$10,"c",$E$14)</f>
        <v>2.3595320111714169E-2</v>
      </c>
      <c r="H58" s="48" cm="1">
        <f t="array" aca="1" ref="H58" ca="1">[2]!HoadleySABROption("D",$H$24,$E$4,$B58,$E$7,$E$8,$E$9,$E$10,$E$11,$B$21,$C$21,$E$14)</f>
        <v>1.0442174232491545E-2</v>
      </c>
    </row>
    <row r="59" spans="2:8" x14ac:dyDescent="0.25">
      <c r="B59" s="43">
        <v>32</v>
      </c>
      <c r="C59" s="45">
        <v>2.9378018460498572</v>
      </c>
      <c r="D59" s="46" cm="1">
        <f t="array" aca="1" ref="D59" ca="1">[2]!HoadleySABRBlackVol($E$4,$B59,$E$7,$E$8,$E$9,$E$10,$E$11,$B$21,$C$21,$E$14)</f>
        <v>2.989483723090919</v>
      </c>
      <c r="E59" s="47" cm="1">
        <f t="array" aca="1" ref="E59" ca="1">[2]!HoadleyOptions2("P",1,$H$24,B59,$E$7,$E$8,$C59,$E$10,"c",$E$14)</f>
        <v>2.1692875947105061E-2</v>
      </c>
      <c r="F59" s="47" cm="1">
        <f t="array" aca="1" ref="F59" ca="1">[2]!HoadleySABROption("P",$H$24,$E$4,$B59,$E$7,$E$8,$E$9,$E$10,$E$11,$B$21,$C$21,$E$14)</f>
        <v>2.5036721910116973E-2</v>
      </c>
      <c r="G59" s="48" cm="1">
        <f t="array" aca="1" ref="G59" ca="1">[2]!HoadleyOptions2("D",1,$H$24,B59,$E$7,$E$8,$C59,$E$10,"c",$E$14)</f>
        <v>2.0410788188158779E-2</v>
      </c>
      <c r="H59" s="48" cm="1">
        <f t="array" aca="1" ref="H59" ca="1">[2]!HoadleySABROption("D",$H$24,$E$4,$B59,$E$7,$E$8,$E$9,$E$10,$E$11,$B$21,$C$21,$E$14)</f>
        <v>1.0055241696071623E-2</v>
      </c>
    </row>
    <row r="60" spans="2:8" x14ac:dyDescent="0.25">
      <c r="B60" s="43">
        <v>33</v>
      </c>
      <c r="C60" s="45">
        <v>2.9528304819306896</v>
      </c>
      <c r="D60" s="46" cm="1">
        <f t="array" aca="1" ref="D60" ca="1">[2]!HoadleySABRBlackVol($E$4,$B60,$E$7,$E$8,$E$9,$E$10,$E$11,$B$21,$C$21,$E$14)</f>
        <v>3.0165495858685589</v>
      </c>
      <c r="E60" s="47" cm="1">
        <f t="array" aca="1" ref="E60" ca="1">[2]!HoadleyOptions2("P",1,$H$24,B60,$E$7,$E$8,$C60,$E$10,"c",$E$14)</f>
        <v>2.04114993174698E-2</v>
      </c>
      <c r="F60" s="47" cm="1">
        <f t="array" aca="1" ref="F60" ca="1">[2]!HoadleySABROption("P",$H$24,$E$4,$B60,$E$7,$E$8,$E$9,$E$10,$E$11,$B$21,$C$21,$E$14)</f>
        <v>2.4382765861756299E-2</v>
      </c>
      <c r="G60" s="48" cm="1">
        <f t="array" aca="1" ref="G60" ca="1">[2]!HoadleyOptions2("D",1,$H$24,B60,$E$7,$E$8,$C60,$E$10,"c",$E$14)</f>
        <v>1.9242799920062947E-2</v>
      </c>
      <c r="H60" s="48" cm="1">
        <f t="array" aca="1" ref="H60" ca="1">[2]!HoadleySABROption("D",$H$24,$E$4,$B60,$E$7,$E$8,$E$9,$E$10,$E$11,$B$21,$C$21,$E$14)</f>
        <v>9.7007426636304059E-3</v>
      </c>
    </row>
    <row r="61" spans="2:8" x14ac:dyDescent="0.25">
      <c r="B61" s="43">
        <v>34</v>
      </c>
      <c r="C61" s="45">
        <v>3.0210056941814534</v>
      </c>
      <c r="D61" s="46" cm="1">
        <f t="array" aca="1" ref="D61" ca="1">[2]!HoadleySABRBlackVol($E$4,$B61,$E$7,$E$8,$E$9,$E$10,$E$11,$B$21,$C$21,$E$14)</f>
        <v>3.0427956142920851</v>
      </c>
      <c r="E61" s="47" cm="1">
        <f t="array" aca="1" ref="E61" ca="1">[2]!HoadleyOptions2("P",1,$H$24,B61,$E$7,$E$8,$C61,$E$10,"c",$E$14)</f>
        <v>2.2395878954945894E-2</v>
      </c>
      <c r="F61" s="47" cm="1">
        <f t="array" aca="1" ref="F61" ca="1">[2]!HoadleySABROption("P",$H$24,$E$4,$B61,$E$7,$E$8,$E$9,$E$10,$E$11,$B$21,$C$21,$E$14)</f>
        <v>2.3776767990658684E-2</v>
      </c>
      <c r="G61" s="48" cm="1">
        <f t="array" aca="1" ref="G61" ca="1">[2]!HoadleyOptions2("D",1,$H$24,B61,$E$7,$E$8,$C61,$E$10,"c",$E$14)</f>
        <v>2.0597869833656413E-2</v>
      </c>
      <c r="H61" s="48" cm="1">
        <f t="array" aca="1" ref="H61" ca="1">[2]!HoadleySABROption("D",$H$24,$E$4,$B61,$E$7,$E$8,$E$9,$E$10,$E$11,$B$21,$C$21,$E$14)</f>
        <v>9.3748542123074999E-3</v>
      </c>
    </row>
    <row r="62" spans="2:8" x14ac:dyDescent="0.25">
      <c r="B62" s="43">
        <v>35</v>
      </c>
      <c r="C62" s="45">
        <v>3.0344497003022202</v>
      </c>
      <c r="D62" s="46" cm="1">
        <f t="array" aca="1" ref="D62" ca="1">[2]!HoadleySABRBlackVol($E$4,$B62,$E$7,$E$8,$E$9,$E$10,$E$11,$B$21,$C$21,$E$14)</f>
        <v>3.0682688381825138</v>
      </c>
      <c r="E62" s="47" cm="1">
        <f t="array" aca="1" ref="E62" ca="1">[2]!HoadleyOptions2("P",1,$H$24,B62,$E$7,$E$8,$C62,$E$10,"c",$E$14)</f>
        <v>2.1145140842408469E-2</v>
      </c>
      <c r="F62" s="47" cm="1">
        <f t="array" aca="1" ref="F62" ca="1">[2]!HoadleySABROption("P",$H$24,$E$4,$B62,$E$7,$E$8,$E$9,$E$10,$E$11,$B$21,$C$21,$E$14)</f>
        <v>2.3213626956838901E-2</v>
      </c>
      <c r="G62" s="48" cm="1">
        <f t="array" aca="1" ref="G62" ca="1">[2]!HoadleyOptions2("D",1,$H$24,B62,$E$7,$E$8,$C62,$E$10,"c",$E$14)</f>
        <v>1.9488853761328584E-2</v>
      </c>
      <c r="H62" s="48" cm="1">
        <f t="array" aca="1" ref="H62" ca="1">[2]!HoadleySABROption("D",$H$24,$E$4,$B62,$E$7,$E$8,$E$9,$E$10,$E$11,$B$21,$C$21,$E$14)</f>
        <v>9.0743195531636789E-3</v>
      </c>
    </row>
    <row r="63" spans="2:8" x14ac:dyDescent="0.25">
      <c r="B63" s="43">
        <v>36</v>
      </c>
      <c r="C63" s="45">
        <v>3.0127060101620882</v>
      </c>
      <c r="D63" s="46" cm="1">
        <f t="array" aca="1" ref="D63" ca="1">[2]!HoadleySABRBlackVol($E$4,$B63,$E$7,$E$8,$E$9,$E$10,$E$11,$B$21,$C$21,$E$14)</f>
        <v>3.0930124090448436</v>
      </c>
      <c r="E63" s="47" cm="1">
        <f t="array" aca="1" ref="E63" ca="1">[2]!HoadleyOptions2("P",1,$H$24,B63,$E$7,$E$8,$C63,$E$10,"c",$E$14)</f>
        <v>1.8100866043951266E-2</v>
      </c>
      <c r="F63" s="47" cm="1">
        <f t="array" aca="1" ref="F63" ca="1">[2]!HoadleySABROption("P",$H$24,$E$4,$B63,$E$7,$E$8,$E$9,$E$10,$E$11,$B$21,$C$21,$E$14)</f>
        <v>2.2688934521119992E-2</v>
      </c>
      <c r="G63" s="48" cm="1">
        <f t="array" aca="1" ref="G63" ca="1">[2]!HoadleyOptions2("D",1,$H$24,B63,$E$7,$E$8,$C63,$E$10,"c",$E$14)</f>
        <v>1.700473806313052E-2</v>
      </c>
      <c r="H63" s="48" cm="1">
        <f t="array" aca="1" ref="H63" ca="1">[2]!HoadleySABROption("D",$H$24,$E$4,$B63,$E$7,$E$8,$E$9,$E$10,$E$11,$B$21,$C$21,$E$14)</f>
        <v>8.7963486264030707E-3</v>
      </c>
    </row>
    <row r="64" spans="2:8" x14ac:dyDescent="0.25">
      <c r="B64" s="43">
        <v>37</v>
      </c>
      <c r="C64" s="45">
        <v>3.0430328029707532</v>
      </c>
      <c r="D64" s="46" cm="1">
        <f t="array" aca="1" ref="D64" ca="1">[2]!HoadleySABRBlackVol($E$4,$B64,$E$7,$E$8,$E$9,$E$10,$E$11,$B$21,$C$21,$E$14)</f>
        <v>3.1170660094139464</v>
      </c>
      <c r="E64" s="47" cm="1">
        <f t="array" aca="1" ref="E64" ca="1">[2]!HoadleyOptions2("P",1,$H$24,B64,$E$7,$E$8,$C64,$E$10,"c",$E$14)</f>
        <v>1.8034124947905711E-2</v>
      </c>
      <c r="F64" s="47" cm="1">
        <f t="array" aca="1" ref="F64" ca="1">[2]!HoadleySABROption("P",$H$24,$E$4,$B64,$E$7,$E$8,$E$9,$E$10,$E$11,$B$21,$C$21,$E$14)</f>
        <v>2.2198862668369408E-2</v>
      </c>
      <c r="G64" s="48" cm="1">
        <f t="array" aca="1" ref="G64" ca="1">[2]!HoadleyOptions2("D",1,$H$24,B64,$E$7,$E$8,$C64,$E$10,"c",$E$14)</f>
        <v>1.6826904032928081E-2</v>
      </c>
      <c r="H64" s="48" cm="1">
        <f t="array" aca="1" ref="H64" ca="1">[2]!HoadleySABROption("D",$H$24,$E$4,$B64,$E$7,$E$8,$E$9,$E$10,$E$11,$B$21,$C$21,$E$14)</f>
        <v>8.5385386679607059E-3</v>
      </c>
    </row>
    <row r="65" spans="2:8" x14ac:dyDescent="0.25">
      <c r="B65" s="43">
        <v>38</v>
      </c>
      <c r="C65" s="45">
        <v>3.0726049316545709</v>
      </c>
      <c r="D65" s="46" cm="1">
        <f t="array" aca="1" ref="D65" ca="1">[2]!HoadleySABRBlackVol($E$4,$B65,$E$7,$E$8,$E$9,$E$10,$E$11,$B$21,$C$21,$E$14)</f>
        <v>3.1404662103887437</v>
      </c>
      <c r="E65" s="47" cm="1">
        <f t="array" aca="1" ref="E65" ca="1">[2]!HoadleyOptions2("P",1,$H$24,B65,$E$7,$E$8,$C65,$E$10,"c",$E$14)</f>
        <v>1.7978089767843645E-2</v>
      </c>
      <c r="F65" s="47" cm="1">
        <f t="array" aca="1" ref="F65" ca="1">[2]!HoadleySABROption("P",$H$24,$E$4,$B65,$E$7,$E$8,$E$9,$E$10,$E$11,$B$21,$C$21,$E$14)</f>
        <v>2.1740071932270708E-2</v>
      </c>
      <c r="G65" s="48" cm="1">
        <f t="array" aca="1" ref="G65" ca="1">[2]!HoadleyOptions2("D",1,$H$24,B65,$E$7,$E$8,$C65,$E$10,"c",$E$14)</f>
        <v>1.6664031392834233E-2</v>
      </c>
      <c r="H65" s="48" cm="1">
        <f t="array" aca="1" ref="H65" ca="1">[2]!HoadleySABROption("D",$H$24,$E$4,$B65,$E$7,$E$8,$E$9,$E$10,$E$11,$B$21,$C$21,$E$14)</f>
        <v>8.298810265115579E-3</v>
      </c>
    </row>
    <row r="66" spans="2:8" x14ac:dyDescent="0.25">
      <c r="B66" s="43">
        <v>39</v>
      </c>
      <c r="C66" s="45">
        <v>3.1014594763403198</v>
      </c>
      <c r="D66" s="46" cm="1">
        <f t="array" aca="1" ref="D66" ca="1">[2]!HoadleySABRBlackVol($E$4,$B66,$E$7,$E$8,$E$9,$E$10,$E$11,$B$21,$C$21,$E$14)</f>
        <v>3.1632467848893842</v>
      </c>
      <c r="E66" s="47" cm="1">
        <f t="array" aca="1" ref="E66" ca="1">[2]!HoadleyOptions2("P",1,$H$24,B66,$E$7,$E$8,$C66,$E$10,"c",$E$14)</f>
        <v>1.7931662904905582E-2</v>
      </c>
      <c r="F66" s="47" cm="1">
        <f t="array" aca="1" ref="F66" ca="1">[2]!HoadleySABROption("P",$H$24,$E$4,$B66,$E$7,$E$8,$E$9,$E$10,$E$11,$B$21,$C$21,$E$14)</f>
        <v>2.1309636446241457E-2</v>
      </c>
      <c r="G66" s="48" cm="1">
        <f t="array" aca="1" ref="G66" ca="1">[2]!HoadleyOptions2("D",1,$H$24,B66,$E$7,$E$8,$C66,$E$10,"c",$E$14)</f>
        <v>1.6514626459657511E-2</v>
      </c>
      <c r="H66" s="48" cm="1">
        <f t="array" aca="1" ref="H66" ca="1">[2]!HoadleySABROption("D",$H$24,$E$4,$B66,$E$7,$E$8,$E$9,$E$10,$E$11,$B$21,$C$21,$E$14)</f>
        <v>8.0753555244682945E-3</v>
      </c>
    </row>
    <row r="67" spans="2:8" x14ac:dyDescent="0.25">
      <c r="B67" s="43">
        <v>40</v>
      </c>
      <c r="C67" s="45">
        <v>3.1129924274087961</v>
      </c>
      <c r="D67" s="46" cm="1">
        <f t="array" aca="1" ref="D67" ca="1">[2]!HoadleySABRBlackVol($E$4,$B67,$E$7,$E$8,$E$9,$E$10,$E$11,$B$21,$C$21,$E$14)</f>
        <v>3.1854389829524772</v>
      </c>
      <c r="E67" s="47" cm="1">
        <f t="array" aca="1" ref="E67" ca="1">[2]!HoadleyOptions2("P",1,$H$24,B67,$E$7,$E$8,$C67,$E$10,"c",$E$14)</f>
        <v>1.7060279396915304E-2</v>
      </c>
      <c r="F67" s="47" cm="1">
        <f t="array" aca="1" ref="F67" ca="1">[2]!HoadleySABROption("P",$H$24,$E$4,$B67,$E$7,$E$8,$E$9,$E$10,$E$11,$B$21,$C$21,$E$14)</f>
        <v>2.0904982287225662E-2</v>
      </c>
      <c r="G67" s="48" cm="1">
        <f t="array" aca="1" ref="G67" ca="1">[2]!HoadleyOptions2("D",1,$H$24,B67,$E$7,$E$8,$C67,$E$10,"c",$E$14)</f>
        <v>1.573909602963186E-2</v>
      </c>
      <c r="H67" s="48" cm="1">
        <f t="array" aca="1" ref="H67" ca="1">[2]!HoadleySABROption("D",$H$24,$E$4,$B67,$E$7,$E$8,$E$9,$E$10,$E$11,$B$21,$C$21,$E$14)</f>
        <v>7.8665957831356229E-3</v>
      </c>
    </row>
    <row r="68" spans="2:8" x14ac:dyDescent="0.25">
      <c r="B68" s="43">
        <v>41</v>
      </c>
      <c r="C68" s="45">
        <v>3.9679728941274099</v>
      </c>
      <c r="D68" s="46" cm="1">
        <f t="array" aca="1" ref="D68" ca="1">[2]!HoadleySABRBlackVol($E$4,$B68,$E$7,$E$8,$E$9,$E$10,$E$11,$B$21,$C$21,$E$14)</f>
        <v>3.2070717743739428</v>
      </c>
      <c r="E68" s="47" cm="1">
        <f t="array" aca="1" ref="E68" ca="1">[2]!HoadleyOptions2("P",1,$H$24,B68,$E$7,$E$8,$C68,$E$10,"c",$E$14)</f>
        <v>0.10039597125782174</v>
      </c>
      <c r="F68" s="47" cm="1">
        <f t="array" aca="1" ref="F68" ca="1">[2]!HoadleySABROption("P",$H$24,$E$4,$B68,$E$7,$E$8,$E$9,$E$10,$E$11,$B$21,$C$21,$E$14)</f>
        <v>2.052383645723917E-2</v>
      </c>
      <c r="G68" s="48" cm="1">
        <f t="array" aca="1" ref="G68" ca="1">[2]!HoadleyOptions2("D",1,$H$24,B68,$E$7,$E$8,$C68,$E$10,"c",$E$14)</f>
        <v>6.6100995802454987E-2</v>
      </c>
      <c r="H68" s="48" cm="1">
        <f t="array" aca="1" ref="H68" ca="1">[2]!HoadleySABROption("D",$H$24,$E$4,$B68,$E$7,$E$8,$E$9,$E$10,$E$11,$B$21,$C$21,$E$14)</f>
        <v>7.6711468941349434E-3</v>
      </c>
    </row>
    <row r="69" spans="2:8" x14ac:dyDescent="0.25">
      <c r="B69" s="43">
        <v>42</v>
      </c>
      <c r="C69" s="45">
        <v>3.0227985919288636</v>
      </c>
      <c r="D69" s="46" cm="1">
        <f t="array" aca="1" ref="D69" ca="1">[2]!HoadleySABRBlackVol($E$4,$B69,$E$7,$E$8,$E$9,$E$10,$E$11,$B$21,$C$21,$E$14)</f>
        <v>3.2281720631775728</v>
      </c>
      <c r="E69" s="47" cm="1">
        <f t="array" aca="1" ref="E69" ca="1">[2]!HoadleyOptions2("P",1,$H$24,B69,$E$7,$E$8,$C69,$E$10,"c",$E$14)</f>
        <v>1.0971746821848219E-2</v>
      </c>
      <c r="F69" s="47" cm="1">
        <f t="array" aca="1" ref="F69" ca="1">[2]!HoadleySABROption("P",$H$24,$E$4,$B69,$E$7,$E$8,$E$9,$E$10,$E$11,$B$21,$C$21,$E$14)</f>
        <v>2.0164184433670736E-2</v>
      </c>
      <c r="G69" s="48" cm="1">
        <f t="array" aca="1" ref="G69" ca="1">[2]!HoadleyOptions2("D",1,$H$24,B69,$E$7,$E$8,$C69,$E$10,"c",$E$14)</f>
        <v>1.0730074972025605E-2</v>
      </c>
      <c r="H69" s="48" cm="1">
        <f t="array" aca="1" ref="H69" ca="1">[2]!HoadleySABROption("D",$H$24,$E$4,$B69,$E$7,$E$8,$E$9,$E$10,$E$11,$B$21,$C$21,$E$14)</f>
        <v>7.4877905645269818E-3</v>
      </c>
    </row>
    <row r="70" spans="2:8" x14ac:dyDescent="0.25">
      <c r="B70" s="43">
        <v>43</v>
      </c>
      <c r="C70" s="45">
        <v>3.2265562521321063</v>
      </c>
      <c r="D70" s="46" cm="1">
        <f t="array" aca="1" ref="D70" ca="1">[2]!HoadleySABRBlackVol($E$4,$B70,$E$7,$E$8,$E$9,$E$10,$E$11,$B$21,$C$21,$E$14)</f>
        <v>3.2487648776983113</v>
      </c>
      <c r="E70" s="47" cm="1">
        <f t="array" aca="1" ref="E70" ca="1">[2]!HoadleyOptions2("P",1,$H$24,B70,$E$7,$E$8,$C70,$E$10,"c",$E$14)</f>
        <v>1.8648203911187267E-2</v>
      </c>
      <c r="F70" s="47" cm="1">
        <f t="array" aca="1" ref="F70" ca="1">[2]!HoadleySABROption("P",$H$24,$E$4,$B70,$E$7,$E$8,$E$9,$E$10,$E$11,$B$21,$C$21,$E$14)</f>
        <v>1.9824234664476085E-2</v>
      </c>
      <c r="G70" s="48" cm="1">
        <f t="array" aca="1" ref="G70" ca="1">[2]!HoadleyOptions2("D",1,$H$24,B70,$E$7,$E$8,$C70,$E$10,"c",$E$14)</f>
        <v>1.6643429942031385E-2</v>
      </c>
      <c r="H70" s="48" cm="1">
        <f t="array" aca="1" ref="H70" ca="1">[2]!HoadleySABROption("D",$H$24,$E$4,$B70,$E$7,$E$8,$E$9,$E$10,$E$11,$B$21,$C$21,$E$14)</f>
        <v>7.3154505603885769E-3</v>
      </c>
    </row>
    <row r="71" spans="2:8" x14ac:dyDescent="0.25">
      <c r="B71" s="43">
        <v>44</v>
      </c>
      <c r="C71" s="45">
        <v>3.2078573395363792</v>
      </c>
      <c r="D71" s="46" cm="1">
        <f t="array" aca="1" ref="D71" ca="1">[2]!HoadleySABRBlackVol($E$4,$B71,$E$7,$E$8,$E$9,$E$10,$E$11,$B$21,$C$21,$E$14)</f>
        <v>3.2688735394964117</v>
      </c>
      <c r="E71" s="47" cm="1">
        <f t="array" aca="1" ref="E71" ca="1">[2]!HoadleyOptions2("P",1,$H$24,B71,$E$7,$E$8,$C71,$E$10,"c",$E$14)</f>
        <v>1.6448159064584356E-2</v>
      </c>
      <c r="F71" s="47" cm="1">
        <f t="array" aca="1" ref="F71" ca="1">[2]!HoadleySABROption("P",$H$24,$E$4,$B71,$E$7,$E$8,$E$9,$E$10,$E$11,$B$21,$C$21,$E$14)</f>
        <v>1.9502388725102938E-2</v>
      </c>
      <c r="G71" s="48" cm="1">
        <f t="array" aca="1" ref="G71" ca="1">[2]!HoadleyOptions2("D",1,$H$24,B71,$E$7,$E$8,$C71,$E$10,"c",$E$14)</f>
        <v>1.4901256997499002E-2</v>
      </c>
      <c r="H71" s="48" cm="1">
        <f t="array" aca="1" ref="H71" ca="1">[2]!HoadleySABROption("D",$H$24,$E$4,$B71,$E$7,$E$8,$E$9,$E$10,$E$11,$B$21,$C$21,$E$14)</f>
        <v>7.1531728505063244E-3</v>
      </c>
    </row>
    <row r="72" spans="2:8" x14ac:dyDescent="0.25">
      <c r="B72" s="43">
        <v>45</v>
      </c>
      <c r="C72" s="45">
        <v>3.1155215439269566</v>
      </c>
      <c r="D72" s="46" cm="1">
        <f t="array" aca="1" ref="D72" ca="1">[2]!HoadleySABRBlackVol($E$4,$B72,$E$7,$E$8,$E$9,$E$10,$E$11,$B$21,$C$21,$E$14)</f>
        <v>3.2885198138406859</v>
      </c>
      <c r="E72" s="47" cm="1">
        <f t="array" aca="1" ref="E72" ca="1">[2]!HoadleyOptions2("P",1,$H$24,B72,$E$7,$E$8,$C72,$E$10,"c",$E$14)</f>
        <v>1.1585731547808738E-2</v>
      </c>
      <c r="F72" s="47" cm="1">
        <f t="array" aca="1" ref="F72" ca="1">[2]!HoadleySABROption("P",$H$24,$E$4,$B72,$E$7,$E$8,$E$9,$E$10,$E$11,$B$21,$C$21,$E$14)</f>
        <v>1.9197216116656177E-2</v>
      </c>
      <c r="G72" s="48" cm="1">
        <f t="array" aca="1" ref="G72" ca="1">[2]!HoadleyOptions2("D",1,$H$24,B72,$E$7,$E$8,$C72,$E$10,"c",$E$14)</f>
        <v>1.1036201660256095E-2</v>
      </c>
      <c r="H72" s="48" cm="1">
        <f t="array" aca="1" ref="H72" ca="1">[2]!HoadleySABROption("D",$H$24,$E$4,$B72,$E$7,$E$8,$E$9,$E$10,$E$11,$B$21,$C$21,$E$14)</f>
        <v>7.0001089549763529E-3</v>
      </c>
    </row>
    <row r="73" spans="2:8" x14ac:dyDescent="0.25">
      <c r="B73" s="43"/>
      <c r="C73" s="45"/>
      <c r="D73" s="46" t="e" cm="1">
        <f t="array" aca="1" ref="D73" ca="1">[2]!HoadleySABRBlackVol($E$4,$B73,$E$7,$E$8,$E$9,$E$10,$E$11,$B$21,$C$21,$E$14)</f>
        <v>#NUM!</v>
      </c>
      <c r="E73" s="47" cm="1">
        <f t="array" aca="1" ref="E73" ca="1">[2]!HoadleyOptions2("P",1,$H$24,B73,$E$7,$E$8,$C73,$E$10,"c",$E$14)</f>
        <v>0</v>
      </c>
      <c r="F73" s="47" t="e" cm="1">
        <f t="array" aca="1" ref="F73" ca="1">[2]!HoadleySABROption("P",$H$24,$E$4,$B73,$E$7,$E$8,$E$9,$E$10,$E$11,$B$21,$C$21,$E$14)</f>
        <v>#NUM!</v>
      </c>
      <c r="G73" s="48" cm="1">
        <f t="array" aca="1" ref="G73" ca="1">[2]!HoadleyOptions2("D",1,$H$24,B73,$E$7,$E$8,$C73,$E$10,"c",$E$14)</f>
        <v>0</v>
      </c>
      <c r="H73" s="48" t="e" cm="1">
        <f t="array" aca="1" ref="H73" ca="1">[2]!HoadleySABROption("D",$H$24,$E$4,$B73,$E$7,$E$8,$E$9,$E$10,$E$11,$B$21,$C$21,$E$14)</f>
        <v>#NUM!</v>
      </c>
    </row>
    <row r="74" spans="2:8" x14ac:dyDescent="0.25">
      <c r="B74" s="43"/>
      <c r="C74" s="45"/>
      <c r="D74" s="46" t="e" cm="1">
        <f t="array" aca="1" ref="D74" ca="1">[2]!HoadleySABRBlackVol($E$4,$B74,$E$7,$E$8,$E$9,$E$10,$E$11,$B$21,$C$21,$E$14)</f>
        <v>#NUM!</v>
      </c>
      <c r="E74" s="47" cm="1">
        <f t="array" aca="1" ref="E74" ca="1">[2]!HoadleyOptions2("P",1,$H$24,B74,$E$7,$E$8,$C74,$E$10,"c",$E$14)</f>
        <v>0</v>
      </c>
      <c r="F74" s="47" t="e" cm="1">
        <f t="array" aca="1" ref="F74" ca="1">[2]!HoadleySABROption("P",$H$24,$E$4,$B74,$E$7,$E$8,$E$9,$E$10,$E$11,$B$21,$C$21,$E$14)</f>
        <v>#NUM!</v>
      </c>
      <c r="G74" s="48" cm="1">
        <f t="array" aca="1" ref="G74" ca="1">[2]!HoadleyOptions2("D",1,$H$24,B74,$E$7,$E$8,$C74,$E$10,"c",$E$14)</f>
        <v>0</v>
      </c>
      <c r="H74" s="48" t="e" cm="1">
        <f t="array" aca="1" ref="H74" ca="1">[2]!HoadleySABROption("D",$H$24,$E$4,$B74,$E$7,$E$8,$E$9,$E$10,$E$11,$B$21,$C$21,$E$14)</f>
        <v>#NUM!</v>
      </c>
    </row>
    <row r="75" spans="2:8" x14ac:dyDescent="0.25">
      <c r="B75" s="43"/>
      <c r="C75" s="45"/>
      <c r="D75" s="46" t="e" cm="1">
        <f t="array" aca="1" ref="D75" ca="1">[2]!HoadleySABRBlackVol($E$4,$B75,$E$7,$E$8,$E$9,$E$10,$E$11,$B$21,$C$21,$E$14)</f>
        <v>#NUM!</v>
      </c>
      <c r="E75" s="47" cm="1">
        <f t="array" aca="1" ref="E75" ca="1">[2]!HoadleyOptions2("P",1,$H$24,B75,$E$7,$E$8,$C75,$E$10,"c",$E$14)</f>
        <v>0</v>
      </c>
      <c r="F75" s="47" t="e" cm="1">
        <f t="array" aca="1" ref="F75" ca="1">[2]!HoadleySABROption("P",$H$24,$E$4,$B75,$E$7,$E$8,$E$9,$E$10,$E$11,$B$21,$C$21,$E$14)</f>
        <v>#NUM!</v>
      </c>
      <c r="G75" s="48" cm="1">
        <f t="array" aca="1" ref="G75" ca="1">[2]!HoadleyOptions2("D",1,$H$24,B75,$E$7,$E$8,$C75,$E$10,"c",$E$14)</f>
        <v>0</v>
      </c>
      <c r="H75" s="48" t="e" cm="1">
        <f t="array" aca="1" ref="H75" ca="1">[2]!HoadleySABROption("D",$H$24,$E$4,$B75,$E$7,$E$8,$E$9,$E$10,$E$11,$B$21,$C$21,$E$14)</f>
        <v>#NUM!</v>
      </c>
    </row>
    <row r="76" spans="2:8" x14ac:dyDescent="0.25">
      <c r="B76" s="43"/>
      <c r="C76" s="45"/>
      <c r="D76" s="46" t="e" cm="1">
        <f t="array" aca="1" ref="D76" ca="1">[2]!HoadleySABRBlackVol($E$4,$B76,$E$7,$E$8,$E$9,$E$10,$E$11,$B$21,$C$21,$E$14)</f>
        <v>#NUM!</v>
      </c>
      <c r="E76" s="47" cm="1">
        <f t="array" aca="1" ref="E76" ca="1">[2]!HoadleyOptions2("P",1,$H$24,B76,$E$7,$E$8,$C76,$E$10,"c",$E$14)</f>
        <v>0</v>
      </c>
      <c r="F76" s="47" t="e" cm="1">
        <f t="array" aca="1" ref="F76" ca="1">[2]!HoadleySABROption("P",$H$24,$E$4,$B76,$E$7,$E$8,$E$9,$E$10,$E$11,$B$21,$C$21,$E$14)</f>
        <v>#NUM!</v>
      </c>
      <c r="G76" s="48" cm="1">
        <f t="array" aca="1" ref="G76" ca="1">[2]!HoadleyOptions2("D",1,$H$24,B76,$E$7,$E$8,$C76,$E$10,"c",$E$14)</f>
        <v>0</v>
      </c>
      <c r="H76" s="48" t="e" cm="1">
        <f t="array" aca="1" ref="H76" ca="1">[2]!HoadleySABROption("D",$H$24,$E$4,$B76,$E$7,$E$8,$E$9,$E$10,$E$11,$B$21,$C$21,$E$14)</f>
        <v>#NUM!</v>
      </c>
    </row>
    <row r="77" spans="2:8" x14ac:dyDescent="0.25">
      <c r="B77" s="43"/>
      <c r="C77" s="45"/>
      <c r="D77" s="46" t="e" cm="1">
        <f t="array" aca="1" ref="D77" ca="1">[2]!HoadleySABRBlackVol($E$4,$B77,$E$7,$E$8,$E$9,$E$10,$E$11,$B$21,$C$21,$E$14)</f>
        <v>#NUM!</v>
      </c>
      <c r="E77" s="47" cm="1">
        <f t="array" aca="1" ref="E77" ca="1">[2]!HoadleyOptions2("P",1,$H$24,B77,$E$7,$E$8,$C77,$E$10,"c",$E$14)</f>
        <v>0</v>
      </c>
      <c r="F77" s="47" t="e" cm="1">
        <f t="array" aca="1" ref="F77" ca="1">[2]!HoadleySABROption("P",$H$24,$E$4,$B77,$E$7,$E$8,$E$9,$E$10,$E$11,$B$21,$C$21,$E$14)</f>
        <v>#NUM!</v>
      </c>
      <c r="G77" s="48" cm="1">
        <f t="array" aca="1" ref="G77" ca="1">[2]!HoadleyOptions2("D",1,$H$24,B77,$E$7,$E$8,$C77,$E$10,"c",$E$14)</f>
        <v>0</v>
      </c>
      <c r="H77" s="48" t="e" cm="1">
        <f t="array" aca="1" ref="H77" ca="1">[2]!HoadleySABROption("D",$H$24,$E$4,$B77,$E$7,$E$8,$E$9,$E$10,$E$11,$B$21,$C$21,$E$14)</f>
        <v>#NUM!</v>
      </c>
    </row>
    <row r="78" spans="2:8" x14ac:dyDescent="0.25">
      <c r="B78" s="43"/>
      <c r="C78" s="45"/>
      <c r="D78" s="46" t="e" cm="1">
        <f t="array" aca="1" ref="D78" ca="1">[2]!HoadleySABRBlackVol($E$4,$B78,$E$7,$E$8,$E$9,$E$10,$E$11,$B$21,$C$21,$E$14)</f>
        <v>#NUM!</v>
      </c>
      <c r="E78" s="47" cm="1">
        <f t="array" aca="1" ref="E78" ca="1">[2]!HoadleyOptions2("P",1,$H$24,B78,$E$7,$E$8,$C78,$E$10,"c",$E$14)</f>
        <v>0</v>
      </c>
      <c r="F78" s="47" t="e" cm="1">
        <f t="array" aca="1" ref="F78" ca="1">[2]!HoadleySABROption("P",$H$24,$E$4,$B78,$E$7,$E$8,$E$9,$E$10,$E$11,$B$21,$C$21,$E$14)</f>
        <v>#NUM!</v>
      </c>
      <c r="G78" s="48" cm="1">
        <f t="array" aca="1" ref="G78" ca="1">[2]!HoadleyOptions2("D",1,$H$24,B78,$E$7,$E$8,$C78,$E$10,"c",$E$14)</f>
        <v>0</v>
      </c>
      <c r="H78" s="48" t="e" cm="1">
        <f t="array" aca="1" ref="H78" ca="1">[2]!HoadleySABROption("D",$H$24,$E$4,$B78,$E$7,$E$8,$E$9,$E$10,$E$11,$B$21,$C$21,$E$14)</f>
        <v>#NUM!</v>
      </c>
    </row>
    <row r="79" spans="2:8" x14ac:dyDescent="0.25">
      <c r="B79" s="43"/>
      <c r="C79" s="45"/>
      <c r="D79" s="46" t="e" cm="1">
        <f t="array" aca="1" ref="D79" ca="1">[2]!HoadleySABRBlackVol($E$4,$B79,$E$7,$E$8,$E$9,$E$10,$E$11,$B$21,$C$21,$E$14)</f>
        <v>#NUM!</v>
      </c>
      <c r="E79" s="47" cm="1">
        <f t="array" aca="1" ref="E79" ca="1">[2]!HoadleyOptions2("P",1,$H$24,B79,$E$7,$E$8,$C79,$E$10,"c",$E$14)</f>
        <v>0</v>
      </c>
      <c r="F79" s="47" t="e" cm="1">
        <f t="array" aca="1" ref="F79" ca="1">[2]!HoadleySABROption("P",$H$24,$E$4,$B79,$E$7,$E$8,$E$9,$E$10,$E$11,$B$21,$C$21,$E$14)</f>
        <v>#NUM!</v>
      </c>
      <c r="G79" s="48" cm="1">
        <f t="array" aca="1" ref="G79" ca="1">[2]!HoadleyOptions2("D",1,$H$24,B79,$E$7,$E$8,$C79,$E$10,"c",$E$14)</f>
        <v>0</v>
      </c>
      <c r="H79" s="48" t="e" cm="1">
        <f t="array" aca="1" ref="H79" ca="1">[2]!HoadleySABROption("D",$H$24,$E$4,$B79,$E$7,$E$8,$E$9,$E$10,$E$11,$B$21,$C$21,$E$14)</f>
        <v>#NUM!</v>
      </c>
    </row>
    <row r="80" spans="2:8" x14ac:dyDescent="0.25">
      <c r="B80" s="43"/>
      <c r="C80" s="45"/>
      <c r="D80" s="46" t="e" cm="1">
        <f t="array" aca="1" ref="D80" ca="1">[2]!HoadleySABRBlackVol($E$4,$B80,$E$7,$E$8,$E$9,$E$10,$E$11,$B$21,$C$21,$E$14)</f>
        <v>#NUM!</v>
      </c>
      <c r="E80" s="47" cm="1">
        <f t="array" aca="1" ref="E80" ca="1">[2]!HoadleyOptions2("P",1,$H$24,B80,$E$7,$E$8,$C80,$E$10,"c",$E$14)</f>
        <v>0</v>
      </c>
      <c r="F80" s="47" t="e" cm="1">
        <f t="array" aca="1" ref="F80" ca="1">[2]!HoadleySABROption("P",$H$24,$E$4,$B80,$E$7,$E$8,$E$9,$E$10,$E$11,$B$21,$C$21,$E$14)</f>
        <v>#NUM!</v>
      </c>
      <c r="G80" s="48" cm="1">
        <f t="array" aca="1" ref="G80" ca="1">[2]!HoadleyOptions2("D",1,$H$24,B80,$E$7,$E$8,$C80,$E$10,"c",$E$14)</f>
        <v>0</v>
      </c>
      <c r="H80" s="48" t="e" cm="1">
        <f t="array" aca="1" ref="H80" ca="1">[2]!HoadleySABROption("D",$H$24,$E$4,$B80,$E$7,$E$8,$E$9,$E$10,$E$11,$B$21,$C$21,$E$14)</f>
        <v>#NUM!</v>
      </c>
    </row>
    <row r="81" spans="2:9" x14ac:dyDescent="0.25">
      <c r="B81" s="43"/>
      <c r="C81" s="45"/>
      <c r="D81" s="46" t="e" cm="1">
        <f t="array" aca="1" ref="D81" ca="1">[2]!HoadleySABRBlackVol($E$4,$B81,$E$7,$E$8,$E$9,$E$10,$E$11,$B$21,$C$21,$E$14)</f>
        <v>#NUM!</v>
      </c>
      <c r="E81" s="47" cm="1">
        <f t="array" aca="1" ref="E81" ca="1">[2]!HoadleyOptions2("P",1,$H$24,B81,$E$7,$E$8,$C81,$E$10,"c",$E$14)</f>
        <v>0</v>
      </c>
      <c r="F81" s="47" t="e" cm="1">
        <f t="array" aca="1" ref="F81" ca="1">[2]!HoadleySABROption("P",$H$24,$E$4,$B81,$E$7,$E$8,$E$9,$E$10,$E$11,$B$21,$C$21,$E$14)</f>
        <v>#NUM!</v>
      </c>
      <c r="G81" s="48" cm="1">
        <f t="array" aca="1" ref="G81" ca="1">[2]!HoadleyOptions2("D",1,$H$24,B81,$E$7,$E$8,$C81,$E$10,"c",$E$14)</f>
        <v>0</v>
      </c>
      <c r="H81" s="48" t="e" cm="1">
        <f t="array" aca="1" ref="H81" ca="1">[2]!HoadleySABROption("D",$H$24,$E$4,$B81,$E$7,$E$8,$E$9,$E$10,$E$11,$B$21,$C$21,$E$14)</f>
        <v>#NUM!</v>
      </c>
    </row>
    <row r="82" spans="2:9" x14ac:dyDescent="0.25">
      <c r="B82" s="43"/>
      <c r="C82" s="45"/>
      <c r="D82" s="46" t="e" cm="1">
        <f t="array" aca="1" ref="D82" ca="1">[2]!HoadleySABRBlackVol($E$4,$B82,$E$7,$E$8,$E$9,$E$10,$E$11,$B$21,$C$21,$E$14)</f>
        <v>#NUM!</v>
      </c>
      <c r="E82" s="47" cm="1">
        <f t="array" aca="1" ref="E82" ca="1">[2]!HoadleyOptions2("P",1,$H$24,B82,$E$7,$E$8,$C82,$E$10,"c",$E$14)</f>
        <v>0</v>
      </c>
      <c r="F82" s="47" t="e" cm="1">
        <f t="array" aca="1" ref="F82" ca="1">[2]!HoadleySABROption("P",$H$24,$E$4,$B82,$E$7,$E$8,$E$9,$E$10,$E$11,$B$21,$C$21,$E$14)</f>
        <v>#NUM!</v>
      </c>
      <c r="G82" s="48" cm="1">
        <f t="array" aca="1" ref="G82" ca="1">[2]!HoadleyOptions2("D",1,$H$24,B82,$E$7,$E$8,$C82,$E$10,"c",$E$14)</f>
        <v>0</v>
      </c>
      <c r="H82" s="48" t="e" cm="1">
        <f t="array" aca="1" ref="H82" ca="1">[2]!HoadleySABROption("D",$H$24,$E$4,$B82,$E$7,$E$8,$E$9,$E$10,$E$11,$B$21,$C$21,$E$14)</f>
        <v>#NUM!</v>
      </c>
    </row>
    <row r="83" spans="2:9" x14ac:dyDescent="0.25">
      <c r="B83" s="43"/>
      <c r="C83" s="45"/>
      <c r="D83" s="46" t="e" cm="1">
        <f t="array" aca="1" ref="D83" ca="1">[2]!HoadleySABRBlackVol($E$4,$B83,$E$7,$E$8,$E$9,$E$10,$E$11,$B$21,$C$21,$E$14)</f>
        <v>#NUM!</v>
      </c>
      <c r="E83" s="47" cm="1">
        <f t="array" aca="1" ref="E83" ca="1">[2]!HoadleyOptions2("P",1,$H$24,B83,$E$7,$E$8,$C83,$E$10,"c",$E$14)</f>
        <v>0</v>
      </c>
      <c r="F83" s="47" t="e" cm="1">
        <f t="array" aca="1" ref="F83" ca="1">[2]!HoadleySABROption("P",$H$24,$E$4,$B83,$E$7,$E$8,$E$9,$E$10,$E$11,$B$21,$C$21,$E$14)</f>
        <v>#NUM!</v>
      </c>
      <c r="G83" s="48" cm="1">
        <f t="array" aca="1" ref="G83" ca="1">[2]!HoadleyOptions2("D",1,$H$24,B83,$E$7,$E$8,$C83,$E$10,"c",$E$14)</f>
        <v>0</v>
      </c>
      <c r="H83" s="48" t="e" cm="1">
        <f t="array" aca="1" ref="H83" ca="1">[2]!HoadleySABROption("D",$H$24,$E$4,$B83,$E$7,$E$8,$E$9,$E$10,$E$11,$B$21,$C$21,$E$14)</f>
        <v>#NUM!</v>
      </c>
    </row>
    <row r="84" spans="2:9" x14ac:dyDescent="0.25">
      <c r="B84" s="43"/>
      <c r="C84" s="45"/>
      <c r="D84" s="46" t="e" cm="1">
        <f t="array" aca="1" ref="D84" ca="1">[2]!HoadleySABRBlackVol($E$4,$B84,$E$7,$E$8,$E$9,$E$10,$E$11,$B$21,$C$21,$E$14)</f>
        <v>#NUM!</v>
      </c>
      <c r="E84" s="47" cm="1">
        <f t="array" aca="1" ref="E84" ca="1">[2]!HoadleyOptions2("P",1,$H$24,B84,$E$7,$E$8,$C84,$E$10,"c",$E$14)</f>
        <v>0</v>
      </c>
      <c r="F84" s="47" t="e" cm="1">
        <f t="array" aca="1" ref="F84" ca="1">[2]!HoadleySABROption("P",$H$24,$E$4,$B84,$E$7,$E$8,$E$9,$E$10,$E$11,$B$21,$C$21,$E$14)</f>
        <v>#NUM!</v>
      </c>
      <c r="G84" s="48" cm="1">
        <f t="array" aca="1" ref="G84" ca="1">[2]!HoadleyOptions2("D",1,$H$24,B84,$E$7,$E$8,$C84,$E$10,"c",$E$14)</f>
        <v>0</v>
      </c>
      <c r="H84" s="48" t="e" cm="1">
        <f t="array" aca="1" ref="H84" ca="1">[2]!HoadleySABROption("D",$H$24,$E$4,$B84,$E$7,$E$8,$E$9,$E$10,$E$11,$B$21,$C$21,$E$14)</f>
        <v>#NUM!</v>
      </c>
    </row>
    <row r="85" spans="2:9" x14ac:dyDescent="0.25">
      <c r="B85" s="43"/>
      <c r="C85" s="45"/>
      <c r="D85" s="46" t="e" cm="1">
        <f t="array" aca="1" ref="D85" ca="1">[2]!HoadleySABRBlackVol($E$4,$B85,$E$7,$E$8,$E$9,$E$10,$E$11,$B$21,$C$21,$E$14)</f>
        <v>#NUM!</v>
      </c>
      <c r="E85" s="47" cm="1">
        <f t="array" aca="1" ref="E85" ca="1">[2]!HoadleyOptions2("P",1,$H$24,B85,$E$7,$E$8,$C85,$E$10,"c",$E$14)</f>
        <v>0</v>
      </c>
      <c r="F85" s="47" t="e" cm="1">
        <f t="array" aca="1" ref="F85" ca="1">[2]!HoadleySABROption("P",$H$24,$E$4,$B85,$E$7,$E$8,$E$9,$E$10,$E$11,$B$21,$C$21,$E$14)</f>
        <v>#NUM!</v>
      </c>
      <c r="G85" s="48" cm="1">
        <f t="array" aca="1" ref="G85" ca="1">[2]!HoadleyOptions2("D",1,$H$24,B85,$E$7,$E$8,$C85,$E$10,"c",$E$14)</f>
        <v>0</v>
      </c>
      <c r="H85" s="48" t="e" cm="1">
        <f t="array" aca="1" ref="H85" ca="1">[2]!HoadleySABROption("D",$H$24,$E$4,$B85,$E$7,$E$8,$E$9,$E$10,$E$11,$B$21,$C$21,$E$14)</f>
        <v>#NUM!</v>
      </c>
    </row>
    <row r="86" spans="2:9" x14ac:dyDescent="0.25">
      <c r="B86" s="43"/>
      <c r="C86" s="45"/>
      <c r="D86" s="46" t="e" cm="1">
        <f t="array" aca="1" ref="D86" ca="1">[2]!HoadleySABRBlackVol($E$4,$B86,$E$7,$E$8,$E$9,$E$10,$E$11,$B$21,$C$21,$E$14)</f>
        <v>#NUM!</v>
      </c>
      <c r="E86" s="47" cm="1">
        <f t="array" aca="1" ref="E86" ca="1">[2]!HoadleyOptions2("P",1,$H$24,B86,$E$7,$E$8,$C86,$E$10,"c",$E$14)</f>
        <v>0</v>
      </c>
      <c r="F86" s="47" t="e" cm="1">
        <f t="array" aca="1" ref="F86" ca="1">[2]!HoadleySABROption("P",$H$24,$E$4,$B86,$E$7,$E$8,$E$9,$E$10,$E$11,$B$21,$C$21,$E$14)</f>
        <v>#NUM!</v>
      </c>
      <c r="G86" s="48" cm="1">
        <f t="array" aca="1" ref="G86" ca="1">[2]!HoadleyOptions2("D",1,$H$24,B86,$E$7,$E$8,$C86,$E$10,"c",$E$14)</f>
        <v>0</v>
      </c>
      <c r="H86" s="48" t="e" cm="1">
        <f t="array" aca="1" ref="H86" ca="1">[2]!HoadleySABROption("D",$H$24,$E$4,$B86,$E$7,$E$8,$E$9,$E$10,$E$11,$B$21,$C$21,$E$14)</f>
        <v>#NUM!</v>
      </c>
    </row>
    <row r="87" spans="2:9" x14ac:dyDescent="0.25">
      <c r="B87" s="43"/>
      <c r="C87" s="45"/>
      <c r="D87" s="46" t="e" cm="1">
        <f t="array" aca="1" ref="D87" ca="1">[2]!HoadleySABRBlackVol($E$4,$B87,$E$7,$E$8,$E$9,$E$10,$E$11,$B$21,$C$21,$E$14)</f>
        <v>#NUM!</v>
      </c>
      <c r="E87" s="47" cm="1">
        <f t="array" aca="1" ref="E87" ca="1">[2]!HoadleyOptions2("P",1,$H$24,B87,$E$7,$E$8,$C87,$E$10,"c",$E$14)</f>
        <v>0</v>
      </c>
      <c r="F87" s="47" t="e" cm="1">
        <f t="array" aca="1" ref="F87" ca="1">[2]!HoadleySABROption("P",$H$24,$E$4,$B87,$E$7,$E$8,$E$9,$E$10,$E$11,$B$21,$C$21,$E$14)</f>
        <v>#NUM!</v>
      </c>
      <c r="G87" s="48" cm="1">
        <f t="array" aca="1" ref="G87" ca="1">[2]!HoadleyOptions2("D",1,$H$24,B87,$E$7,$E$8,$C87,$E$10,"c",$E$14)</f>
        <v>0</v>
      </c>
      <c r="H87" s="48" t="e" cm="1">
        <f t="array" aca="1" ref="H87" ca="1">[2]!HoadleySABROption("D",$H$24,$E$4,$B87,$E$7,$E$8,$E$9,$E$10,$E$11,$B$21,$C$21,$E$14)</f>
        <v>#NUM!</v>
      </c>
    </row>
    <row r="88" spans="2:9" x14ac:dyDescent="0.25">
      <c r="B88" s="43"/>
      <c r="C88" s="45"/>
      <c r="D88" s="46" t="e" cm="1">
        <f t="array" aca="1" ref="D88" ca="1">[2]!HoadleySABRBlackVol($E$4,$B88,$E$7,$E$8,$E$9,$E$10,$E$11,$B$21,$C$21,$E$14)</f>
        <v>#NUM!</v>
      </c>
      <c r="E88" s="47" cm="1">
        <f t="array" aca="1" ref="E88" ca="1">[2]!HoadleyOptions2("P",1,$H$24,B88,$E$7,$E$8,$C88,$E$10,"c",$E$14)</f>
        <v>0</v>
      </c>
      <c r="F88" s="47" t="e" cm="1">
        <f t="array" aca="1" ref="F88" ca="1">[2]!HoadleySABROption("P",$H$24,$E$4,$B88,$E$7,$E$8,$E$9,$E$10,$E$11,$B$21,$C$21,$E$14)</f>
        <v>#NUM!</v>
      </c>
      <c r="G88" s="48" cm="1">
        <f t="array" aca="1" ref="G88" ca="1">[2]!HoadleyOptions2("D",1,$H$24,B88,$E$7,$E$8,$C88,$E$10,"c",$E$14)</f>
        <v>0</v>
      </c>
      <c r="H88" s="48" t="e" cm="1">
        <f t="array" aca="1" ref="H88" ca="1">[2]!HoadleySABROption("D",$H$24,$E$4,$B88,$E$7,$E$8,$E$9,$E$10,$E$11,$B$21,$C$21,$E$14)</f>
        <v>#NUM!</v>
      </c>
    </row>
    <row r="89" spans="2:9" x14ac:dyDescent="0.25">
      <c r="B89" s="43"/>
      <c r="C89" s="45"/>
      <c r="D89" s="46" t="e" cm="1">
        <f t="array" aca="1" ref="D89" ca="1">[2]!HoadleySABRBlackVol($E$4,$B89,$E$7,$E$8,$E$9,$E$10,$E$11,$B$21,$C$21,$E$14)</f>
        <v>#NUM!</v>
      </c>
      <c r="E89" s="47" cm="1">
        <f t="array" aca="1" ref="E89" ca="1">[2]!HoadleyOptions2("P",1,$H$24,B89,$E$7,$E$8,$C89,$E$10,"c",$E$14)</f>
        <v>0</v>
      </c>
      <c r="F89" s="47" t="e" cm="1">
        <f t="array" aca="1" ref="F89" ca="1">[2]!HoadleySABROption("P",$H$24,$E$4,$B89,$E$7,$E$8,$E$9,$E$10,$E$11,$B$21,$C$21,$E$14)</f>
        <v>#NUM!</v>
      </c>
      <c r="G89" s="48" cm="1">
        <f t="array" aca="1" ref="G89" ca="1">[2]!HoadleyOptions2("D",1,$H$24,B89,$E$7,$E$8,$C89,$E$10,"c",$E$14)</f>
        <v>0</v>
      </c>
      <c r="H89" s="48" t="e" cm="1">
        <f t="array" aca="1" ref="H89" ca="1">[2]!HoadleySABROption("D",$H$24,$E$4,$B89,$E$7,$E$8,$E$9,$E$10,$E$11,$B$21,$C$21,$E$14)</f>
        <v>#NUM!</v>
      </c>
    </row>
    <row r="90" spans="2:9" x14ac:dyDescent="0.25">
      <c r="B90" s="43"/>
      <c r="C90" s="45"/>
      <c r="D90" s="46" t="e" cm="1">
        <f t="array" aca="1" ref="D90" ca="1">[2]!HoadleySABRBlackVol($E$4,$B90,$E$7,$E$8,$E$9,$E$10,$E$11,$B$21,$C$21,$E$14)</f>
        <v>#NUM!</v>
      </c>
      <c r="E90" s="47" cm="1">
        <f t="array" aca="1" ref="E90" ca="1">[2]!HoadleyOptions2("P",1,$H$24,B90,$E$7,$E$8,$C90,$E$10,"c",$E$14)</f>
        <v>0</v>
      </c>
      <c r="F90" s="47" t="e" cm="1">
        <f t="array" aca="1" ref="F90" ca="1">[2]!HoadleySABROption("P",$H$24,$E$4,$B90,$E$7,$E$8,$E$9,$E$10,$E$11,$B$21,$C$21,$E$14)</f>
        <v>#NUM!</v>
      </c>
      <c r="G90" s="48" cm="1">
        <f t="array" aca="1" ref="G90" ca="1">[2]!HoadleyOptions2("D",1,$H$24,B90,$E$7,$E$8,$C90,$E$10,"c",$E$14)</f>
        <v>0</v>
      </c>
      <c r="H90" s="48" t="e" cm="1">
        <f t="array" aca="1" ref="H90" ca="1">[2]!HoadleySABROption("D",$H$24,$E$4,$B90,$E$7,$E$8,$E$9,$E$10,$E$11,$B$21,$C$21,$E$14)</f>
        <v>#NUM!</v>
      </c>
    </row>
    <row r="91" spans="2:9" x14ac:dyDescent="0.25">
      <c r="B91" s="43"/>
      <c r="C91" s="45"/>
      <c r="D91" s="46" t="e" cm="1">
        <f t="array" aca="1" ref="D91" ca="1">[2]!HoadleySABRBlackVol($E$4,$B91,$E$7,$E$8,$E$9,$E$10,$E$11,$B$21,$C$21,$E$14)</f>
        <v>#NUM!</v>
      </c>
      <c r="E91" s="47" cm="1">
        <f t="array" aca="1" ref="E91" ca="1">[2]!HoadleyOptions2("P",1,$H$24,B91,$E$7,$E$8,$C91,$E$10,"c",$E$14)</f>
        <v>0</v>
      </c>
      <c r="F91" s="47" t="e" cm="1">
        <f t="array" aca="1" ref="F91" ca="1">[2]!HoadleySABROption("P",$H$24,$E$4,$B91,$E$7,$E$8,$E$9,$E$10,$E$11,$B$21,$C$21,$E$14)</f>
        <v>#NUM!</v>
      </c>
      <c r="G91" s="48" cm="1">
        <f t="array" aca="1" ref="G91" ca="1">[2]!HoadleyOptions2("D",1,$H$24,B91,$E$7,$E$8,$C91,$E$10,"c",$E$14)</f>
        <v>0</v>
      </c>
      <c r="H91" s="48" t="e" cm="1">
        <f t="array" aca="1" ref="H91" ca="1">[2]!HoadleySABROption("D",$H$24,$E$4,$B91,$E$7,$E$8,$E$9,$E$10,$E$11,$B$21,$C$21,$E$14)</f>
        <v>#NUM!</v>
      </c>
    </row>
    <row r="92" spans="2:9" x14ac:dyDescent="0.25">
      <c r="B92" s="43"/>
      <c r="C92" s="45"/>
      <c r="D92" s="46" t="e" cm="1">
        <f t="array" aca="1" ref="D92" ca="1">[2]!HoadleySABRBlackVol($E$4,$B92,$E$7,$E$8,$E$9,$E$10,$E$11,$B$21,$C$21,$E$14)</f>
        <v>#NUM!</v>
      </c>
      <c r="E92" s="47" cm="1">
        <f t="array" aca="1" ref="E92" ca="1">[2]!HoadleyOptions2("P",1,$H$24,B92,$E$7,$E$8,$C92,$E$10,"c",$E$14)</f>
        <v>0</v>
      </c>
      <c r="F92" s="47" t="e" cm="1">
        <f t="array" aca="1" ref="F92" ca="1">[2]!HoadleySABROption("P",$H$24,$E$4,$B92,$E$7,$E$8,$E$9,$E$10,$E$11,$B$21,$C$21,$E$14)</f>
        <v>#NUM!</v>
      </c>
      <c r="G92" s="48" cm="1">
        <f t="array" aca="1" ref="G92" ca="1">[2]!HoadleyOptions2("D",1,$H$24,B92,$E$7,$E$8,$C92,$E$10,"c",$E$14)</f>
        <v>0</v>
      </c>
      <c r="H92" s="48" t="e" cm="1">
        <f t="array" aca="1" ref="H92" ca="1">[2]!HoadleySABROption("D",$H$24,$E$4,$B92,$E$7,$E$8,$E$9,$E$10,$E$11,$B$21,$C$21,$E$14)</f>
        <v>#NUM!</v>
      </c>
    </row>
    <row r="93" spans="2:9" ht="13" thickBot="1" x14ac:dyDescent="0.3">
      <c r="B93" s="43"/>
      <c r="C93" s="45"/>
      <c r="D93" s="46" t="e" cm="1">
        <f t="array" aca="1" ref="D93" ca="1">[2]!HoadleySABRBlackVol($E$4,$B93,$E$7,$E$8,$E$9,$E$10,$E$11,$B$21,$C$21,$E$14)</f>
        <v>#NUM!</v>
      </c>
      <c r="E93" s="47" cm="1">
        <f t="array" aca="1" ref="E93" ca="1">[2]!HoadleyOptions2("P",1,$H$24,B93,$E$7,$E$8,$C93,$E$10,"c",$E$14)</f>
        <v>0</v>
      </c>
      <c r="F93" s="47" t="e" cm="1">
        <f t="array" aca="1" ref="F93" ca="1">[2]!HoadleySABROption("P",$H$24,$E$4,$B93,$E$7,$E$8,$E$9,$E$10,$E$11,$B$21,$C$21,$E$14)</f>
        <v>#NUM!</v>
      </c>
      <c r="G93" s="48" cm="1">
        <f t="array" aca="1" ref="G93" ca="1">[2]!HoadleyOptions2("D",1,$H$24,B93,$E$7,$E$8,$C93,$E$10,"c",$E$14)</f>
        <v>0</v>
      </c>
      <c r="H93" s="48" t="e" cm="1">
        <f t="array" aca="1" ref="H93" ca="1">[2]!HoadleySABROption("D",$H$24,$E$4,$B93,$E$7,$E$8,$E$9,$E$10,$E$11,$B$21,$C$21,$E$14)</f>
        <v>#NUM!</v>
      </c>
    </row>
    <row r="94" spans="2:9" ht="13" thickBot="1" x14ac:dyDescent="0.3">
      <c r="B94" s="43"/>
      <c r="C94" s="45"/>
      <c r="D94" s="46" t="e" cm="1">
        <f t="array" aca="1" ref="D94" ca="1">[2]!HoadleySABRBlackVol($E$4,$B94,$E$7,$E$8,$E$9,$E$10,$E$11,$B$21,$C$21,$E$14)</f>
        <v>#NUM!</v>
      </c>
      <c r="E94" s="47" cm="1">
        <f t="array" aca="1" ref="E94" ca="1">[2]!HoadleyOptions2("P",1,$H$24,B94,$E$7,$E$8,$C94,$E$10,"c",$E$14)</f>
        <v>0</v>
      </c>
      <c r="F94" s="47" t="e" cm="1">
        <f t="array" aca="1" ref="F94" ca="1">[2]!HoadleySABROption("P",$H$24,$E$4,$B94,$E$7,$E$8,$E$9,$E$10,$E$11,$B$21,$C$21,$E$14)</f>
        <v>#NUM!</v>
      </c>
      <c r="G94" s="48" cm="1">
        <f t="array" aca="1" ref="G94" ca="1">[2]!HoadleyOptions2("D",1,$H$24,B94,$E$7,$E$8,$C94,$E$10,"c",$E$14)</f>
        <v>0</v>
      </c>
      <c r="H94" s="48" t="e" cm="1">
        <f t="array" aca="1" ref="H94" ca="1">[2]!HoadleySABROption("D",$H$24,$E$4,$B94,$E$7,$E$8,$E$9,$E$10,$E$11,$B$21,$C$21,$E$14)</f>
        <v>#NUM!</v>
      </c>
      <c r="I94" s="49"/>
    </row>
    <row r="95" spans="2:9" x14ac:dyDescent="0.25">
      <c r="B95" s="43"/>
      <c r="C95" s="45"/>
      <c r="D95" s="46" t="e" cm="1">
        <f t="array" aca="1" ref="D95" ca="1">[2]!HoadleySABRBlackVol($E$4,$B95,$E$7,$E$8,$E$9,$E$10,$E$11,$B$21,$C$21,$E$14)</f>
        <v>#NUM!</v>
      </c>
      <c r="E95" s="47" cm="1">
        <f t="array" aca="1" ref="E95" ca="1">[2]!HoadleyOptions2("P",1,$H$24,B95,$E$7,$E$8,$C95,$E$10,"c",$E$14)</f>
        <v>0</v>
      </c>
      <c r="F95" s="47" t="e" cm="1">
        <f t="array" aca="1" ref="F95" ca="1">[2]!HoadleySABROption("P",$H$24,$E$4,$B95,$E$7,$E$8,$E$9,$E$10,$E$11,$B$21,$C$21,$E$14)</f>
        <v>#NUM!</v>
      </c>
      <c r="G95" s="48" cm="1">
        <f t="array" aca="1" ref="G95" ca="1">[2]!HoadleyOptions2("D",1,$H$24,B95,$E$7,$E$8,$C95,$E$10,"c",$E$14)</f>
        <v>0</v>
      </c>
      <c r="H95" s="48" t="e" cm="1">
        <f t="array" aca="1" ref="H95" ca="1">[2]!HoadleySABROption("D",$H$24,$E$4,$B95,$E$7,$E$8,$E$9,$E$10,$E$11,$B$21,$C$21,$E$14)</f>
        <v>#NUM!</v>
      </c>
    </row>
    <row r="96" spans="2:9" x14ac:dyDescent="0.25">
      <c r="B96" s="43"/>
      <c r="C96" s="45"/>
      <c r="D96" s="46" t="e" cm="1">
        <f t="array" aca="1" ref="D96" ca="1">[2]!HoadleySABRBlackVol($E$4,$B96,$E$7,$E$8,$E$9,$E$10,$E$11,$B$21,$C$21,$E$14)</f>
        <v>#NUM!</v>
      </c>
      <c r="E96" s="47" cm="1">
        <f t="array" aca="1" ref="E96" ca="1">[2]!HoadleyOptions2("P",1,$H$24,B96,$E$7,$E$8,$C96,$E$10,"c",$E$14)</f>
        <v>0</v>
      </c>
      <c r="F96" s="47" t="e" cm="1">
        <f t="array" aca="1" ref="F96" ca="1">[2]!HoadleySABROption("P",$H$24,$E$4,$B96,$E$7,$E$8,$E$9,$E$10,$E$11,$B$21,$C$21,$E$14)</f>
        <v>#NUM!</v>
      </c>
      <c r="G96" s="48" cm="1">
        <f t="array" aca="1" ref="G96" ca="1">[2]!HoadleyOptions2("D",1,$H$24,B96,$E$7,$E$8,$C96,$E$10,"c",$E$14)</f>
        <v>0</v>
      </c>
      <c r="H96" s="48" t="e" cm="1">
        <f t="array" aca="1" ref="H96" ca="1">[2]!HoadleySABROption("D",$H$24,$E$4,$B96,$E$7,$E$8,$E$9,$E$10,$E$11,$B$21,$C$21,$E$14)</f>
        <v>#NUM!</v>
      </c>
    </row>
    <row r="97" spans="2:8" x14ac:dyDescent="0.25">
      <c r="B97" s="43"/>
      <c r="C97" s="45"/>
      <c r="D97" s="46" t="e" cm="1">
        <f t="array" aca="1" ref="D97" ca="1">[2]!HoadleySABRBlackVol($E$4,$B97,$E$7,$E$8,$E$9,$E$10,$E$11,$B$21,$C$21,$E$14)</f>
        <v>#NUM!</v>
      </c>
      <c r="E97" s="47" cm="1">
        <f t="array" aca="1" ref="E97" ca="1">[2]!HoadleyOptions2("P",1,$H$24,B97,$E$7,$E$8,$C97,$E$10,"c",$E$14)</f>
        <v>0</v>
      </c>
      <c r="F97" s="47" t="e" cm="1">
        <f t="array" aca="1" ref="F97" ca="1">[2]!HoadleySABROption("P",$H$24,$E$4,$B97,$E$7,$E$8,$E$9,$E$10,$E$11,$B$21,$C$21,$E$14)</f>
        <v>#NUM!</v>
      </c>
      <c r="G97" s="48" cm="1">
        <f t="array" aca="1" ref="G97" ca="1">[2]!HoadleyOptions2("D",1,$H$24,B97,$E$7,$E$8,$C97,$E$10,"c",$E$14)</f>
        <v>0</v>
      </c>
      <c r="H97" s="48" t="e" cm="1">
        <f t="array" aca="1" ref="H97" ca="1">[2]!HoadleySABROption("D",$H$24,$E$4,$B97,$E$7,$E$8,$E$9,$E$10,$E$11,$B$21,$C$21,$E$14)</f>
        <v>#NUM!</v>
      </c>
    </row>
    <row r="98" spans="2:8" x14ac:dyDescent="0.25">
      <c r="B98" s="43"/>
      <c r="C98" s="45"/>
      <c r="D98" s="46" t="e" cm="1">
        <f t="array" aca="1" ref="D98" ca="1">[2]!HoadleySABRBlackVol($E$4,$B98,$E$7,$E$8,$E$9,$E$10,$E$11,$B$21,$C$21,$E$14)</f>
        <v>#NUM!</v>
      </c>
      <c r="E98" s="47" cm="1">
        <f t="array" aca="1" ref="E98" ca="1">[2]!HoadleyOptions2("P",1,$H$24,B98,$E$7,$E$8,$C98,$E$10,"c",$E$14)</f>
        <v>0</v>
      </c>
      <c r="F98" s="47" t="e" cm="1">
        <f t="array" aca="1" ref="F98" ca="1">[2]!HoadleySABROption("P",$H$24,$E$4,$B98,$E$7,$E$8,$E$9,$E$10,$E$11,$B$21,$C$21,$E$14)</f>
        <v>#NUM!</v>
      </c>
      <c r="G98" s="48" cm="1">
        <f t="array" aca="1" ref="G98" ca="1">[2]!HoadleyOptions2("D",1,$H$24,B98,$E$7,$E$8,$C98,$E$10,"c",$E$14)</f>
        <v>0</v>
      </c>
      <c r="H98" s="48" t="e" cm="1">
        <f t="array" aca="1" ref="H98" ca="1">[2]!HoadleySABROption("D",$H$24,$E$4,$B98,$E$7,$E$8,$E$9,$E$10,$E$11,$B$21,$C$21,$E$14)</f>
        <v>#NUM!</v>
      </c>
    </row>
    <row r="99" spans="2:8" x14ac:dyDescent="0.25">
      <c r="B99" s="43"/>
      <c r="C99" s="45"/>
      <c r="D99" s="46" t="e" cm="1">
        <f t="array" aca="1" ref="D99" ca="1">[2]!HoadleySABRBlackVol($E$4,$B99,$E$7,$E$8,$E$9,$E$10,$E$11,$B$21,$C$21,$E$14)</f>
        <v>#NUM!</v>
      </c>
      <c r="E99" s="47" cm="1">
        <f t="array" aca="1" ref="E99" ca="1">[2]!HoadleyOptions2("P",1,$H$24,B99,$E$7,$E$8,$C99,$E$10,"c",$E$14)</f>
        <v>0</v>
      </c>
      <c r="F99" s="47" t="e" cm="1">
        <f t="array" aca="1" ref="F99" ca="1">[2]!HoadleySABROption("P",$H$24,$E$4,$B99,$E$7,$E$8,$E$9,$E$10,$E$11,$B$21,$C$21,$E$14)</f>
        <v>#NUM!</v>
      </c>
      <c r="G99" s="48" cm="1">
        <f t="array" aca="1" ref="G99" ca="1">[2]!HoadleyOptions2("D",1,$H$24,B99,$E$7,$E$8,$C99,$E$10,"c",$E$14)</f>
        <v>0</v>
      </c>
      <c r="H99" s="48" t="e" cm="1">
        <f t="array" aca="1" ref="H99" ca="1">[2]!HoadleySABROption("D",$H$24,$E$4,$B99,$E$7,$E$8,$E$9,$E$10,$E$11,$B$21,$C$21,$E$14)</f>
        <v>#NUM!</v>
      </c>
    </row>
    <row r="100" spans="2:8" x14ac:dyDescent="0.25">
      <c r="B100" s="43"/>
      <c r="C100" s="45"/>
      <c r="D100" s="46" t="e" cm="1">
        <f t="array" aca="1" ref="D100" ca="1">[2]!HoadleySABRBlackVol($E$4,$B100,$E$7,$E$8,$E$9,$E$10,$E$11,$B$21,$C$21,$E$14)</f>
        <v>#NUM!</v>
      </c>
      <c r="E100" s="47" cm="1">
        <f t="array" aca="1" ref="E100" ca="1">[2]!HoadleyOptions2("P",1,$H$24,B100,$E$7,$E$8,$C100,$E$10,"c",$E$14)</f>
        <v>0</v>
      </c>
      <c r="F100" s="47" t="e" cm="1">
        <f t="array" aca="1" ref="F100" ca="1">[2]!HoadleySABROption("P",$H$24,$E$4,$B100,$E$7,$E$8,$E$9,$E$10,$E$11,$B$21,$C$21,$E$14)</f>
        <v>#NUM!</v>
      </c>
      <c r="G100" s="48" cm="1">
        <f t="array" aca="1" ref="G100" ca="1">[2]!HoadleyOptions2("D",1,$H$24,B100,$E$7,$E$8,$C100,$E$10,"c",$E$14)</f>
        <v>0</v>
      </c>
      <c r="H100" s="48" t="e" cm="1">
        <f t="array" aca="1" ref="H100" ca="1">[2]!HoadleySABROption("D",$H$24,$E$4,$B100,$E$7,$E$8,$E$9,$E$10,$E$11,$B$21,$C$21,$E$14)</f>
        <v>#NUM!</v>
      </c>
    </row>
    <row r="101" spans="2:8" x14ac:dyDescent="0.25">
      <c r="B101" s="43"/>
      <c r="C101" s="45"/>
      <c r="D101" s="46" t="e" cm="1">
        <f t="array" aca="1" ref="D101" ca="1">[2]!HoadleySABRBlackVol($E$4,$B101,$E$7,$E$8,$E$9,$E$10,$E$11,$B$21,$C$21,$E$14)</f>
        <v>#NUM!</v>
      </c>
      <c r="E101" s="47" cm="1">
        <f t="array" aca="1" ref="E101" ca="1">[2]!HoadleyOptions2("P",1,$H$24,B101,$E$7,$E$8,$C101,$E$10,"c",$E$14)</f>
        <v>0</v>
      </c>
      <c r="F101" s="47" t="e" cm="1">
        <f t="array" aca="1" ref="F101" ca="1">[2]!HoadleySABROption("P",$H$24,$E$4,$B101,$E$7,$E$8,$E$9,$E$10,$E$11,$B$21,$C$21,$E$14)</f>
        <v>#NUM!</v>
      </c>
      <c r="G101" s="48" cm="1">
        <f t="array" aca="1" ref="G101" ca="1">[2]!HoadleyOptions2("D",1,$H$24,B101,$E$7,$E$8,$C101,$E$10,"c",$E$14)</f>
        <v>0</v>
      </c>
      <c r="H101" s="48" t="e" cm="1">
        <f t="array" aca="1" ref="H101" ca="1">[2]!HoadleySABROption("D",$H$24,$E$4,$B101,$E$7,$E$8,$E$9,$E$10,$E$11,$B$21,$C$21,$E$14)</f>
        <v>#NUM!</v>
      </c>
    </row>
    <row r="102" spans="2:8" x14ac:dyDescent="0.25">
      <c r="B102" s="43"/>
      <c r="C102" s="45"/>
      <c r="D102" s="46" t="e" cm="1">
        <f t="array" aca="1" ref="D102" ca="1">[2]!HoadleySABRBlackVol($E$4,$B102,$E$7,$E$8,$E$9,$E$10,$E$11,$B$21,$C$21,$E$14)</f>
        <v>#NUM!</v>
      </c>
      <c r="E102" s="47" cm="1">
        <f t="array" aca="1" ref="E102" ca="1">[2]!HoadleyOptions2("P",1,$H$24,B102,$E$7,$E$8,$C102,$E$10,"c",$E$14)</f>
        <v>0</v>
      </c>
      <c r="F102" s="47" t="e" cm="1">
        <f t="array" aca="1" ref="F102" ca="1">[2]!HoadleySABROption("P",$H$24,$E$4,$B102,$E$7,$E$8,$E$9,$E$10,$E$11,$B$21,$C$21,$E$14)</f>
        <v>#NUM!</v>
      </c>
      <c r="G102" s="48" cm="1">
        <f t="array" aca="1" ref="G102" ca="1">[2]!HoadleyOptions2("D",1,$H$24,B102,$E$7,$E$8,$C102,$E$10,"c",$E$14)</f>
        <v>0</v>
      </c>
      <c r="H102" s="48" t="e" cm="1">
        <f t="array" aca="1" ref="H102" ca="1">[2]!HoadleySABROption("D",$H$24,$E$4,$B102,$E$7,$E$8,$E$9,$E$10,$E$11,$B$21,$C$21,$E$14)</f>
        <v>#NUM!</v>
      </c>
    </row>
    <row r="103" spans="2:8" x14ac:dyDescent="0.25">
      <c r="B103" s="43"/>
      <c r="C103" s="45"/>
      <c r="D103" s="46" t="e" cm="1">
        <f t="array" aca="1" ref="D103" ca="1">[2]!HoadleySABRBlackVol($E$4,$B103,$E$7,$E$8,$E$9,$E$10,$E$11,$B$21,$C$21,$E$14)</f>
        <v>#NUM!</v>
      </c>
      <c r="E103" s="47" cm="1">
        <f t="array" aca="1" ref="E103" ca="1">[2]!HoadleyOptions2("P",1,$H$24,B103,$E$7,$E$8,$C103,$E$10,"c",$E$14)</f>
        <v>0</v>
      </c>
      <c r="F103" s="47" t="e" cm="1">
        <f t="array" aca="1" ref="F103" ca="1">[2]!HoadleySABROption("P",$H$24,$E$4,$B103,$E$7,$E$8,$E$9,$E$10,$E$11,$B$21,$C$21,$E$14)</f>
        <v>#NUM!</v>
      </c>
      <c r="G103" s="48" cm="1">
        <f t="array" aca="1" ref="G103" ca="1">[2]!HoadleyOptions2("D",1,$H$24,B103,$E$7,$E$8,$C103,$E$10,"c",$E$14)</f>
        <v>0</v>
      </c>
      <c r="H103" s="48" t="e" cm="1">
        <f t="array" aca="1" ref="H103" ca="1">[2]!HoadleySABROption("D",$H$24,$E$4,$B103,$E$7,$E$8,$E$9,$E$10,$E$11,$B$21,$C$21,$E$14)</f>
        <v>#NUM!</v>
      </c>
    </row>
    <row r="104" spans="2:8" x14ac:dyDescent="0.25">
      <c r="B104" s="43"/>
      <c r="C104" s="45"/>
      <c r="D104" s="46" t="e" cm="1">
        <f t="array" aca="1" ref="D104" ca="1">[2]!HoadleySABRBlackVol($E$4,$B104,$E$7,$E$8,$E$9,$E$10,$E$11,$B$21,$C$21,$E$14)</f>
        <v>#NUM!</v>
      </c>
      <c r="E104" s="47" cm="1">
        <f t="array" aca="1" ref="E104" ca="1">[2]!HoadleyOptions2("P",1,$H$24,B104,$E$7,$E$8,$C104,$E$10,"c",$E$14)</f>
        <v>0</v>
      </c>
      <c r="F104" s="47" t="e" cm="1">
        <f t="array" aca="1" ref="F104" ca="1">[2]!HoadleySABROption("P",$H$24,$E$4,$B104,$E$7,$E$8,$E$9,$E$10,$E$11,$B$21,$C$21,$E$14)</f>
        <v>#NUM!</v>
      </c>
      <c r="G104" s="48" cm="1">
        <f t="array" aca="1" ref="G104" ca="1">[2]!HoadleyOptions2("D",1,$H$24,B104,$E$7,$E$8,$C104,$E$10,"c",$E$14)</f>
        <v>0</v>
      </c>
      <c r="H104" s="48" t="e" cm="1">
        <f t="array" aca="1" ref="H104" ca="1">[2]!HoadleySABROption("D",$H$24,$E$4,$B104,$E$7,$E$8,$E$9,$E$10,$E$11,$B$21,$C$21,$E$14)</f>
        <v>#NUM!</v>
      </c>
    </row>
    <row r="105" spans="2:8" x14ac:dyDescent="0.25">
      <c r="B105" s="43"/>
      <c r="C105" s="45"/>
      <c r="D105" s="46" t="e" cm="1">
        <f t="array" aca="1" ref="D105" ca="1">[2]!HoadleySABRBlackVol($E$4,$B105,$E$7,$E$8,$E$9,$E$10,$E$11,$B$21,$C$21,$E$14)</f>
        <v>#NUM!</v>
      </c>
      <c r="E105" s="47" cm="1">
        <f t="array" aca="1" ref="E105" ca="1">[2]!HoadleyOptions2("P",1,$H$24,B105,$E$7,$E$8,$C105,$E$10,"c",$E$14)</f>
        <v>0</v>
      </c>
      <c r="F105" s="47" t="e" cm="1">
        <f t="array" aca="1" ref="F105" ca="1">[2]!HoadleySABROption("P",$H$24,$E$4,$B105,$E$7,$E$8,$E$9,$E$10,$E$11,$B$21,$C$21,$E$14)</f>
        <v>#NUM!</v>
      </c>
      <c r="G105" s="48" cm="1">
        <f t="array" aca="1" ref="G105" ca="1">[2]!HoadleyOptions2("D",1,$H$24,B105,$E$7,$E$8,$C105,$E$10,"c",$E$14)</f>
        <v>0</v>
      </c>
      <c r="H105" s="48" t="e" cm="1">
        <f t="array" aca="1" ref="H105" ca="1">[2]!HoadleySABROption("D",$H$24,$E$4,$B105,$E$7,$E$8,$E$9,$E$10,$E$11,$B$21,$C$21,$E$14)</f>
        <v>#NUM!</v>
      </c>
    </row>
    <row r="106" spans="2:8" x14ac:dyDescent="0.25">
      <c r="B106" s="43"/>
      <c r="C106" s="45"/>
      <c r="D106" s="46" t="e" cm="1">
        <f t="array" aca="1" ref="D106" ca="1">[2]!HoadleySABRBlackVol($E$4,$B106,$E$7,$E$8,$E$9,$E$10,$E$11,$B$21,$C$21,$E$14)</f>
        <v>#NUM!</v>
      </c>
      <c r="E106" s="47" cm="1">
        <f t="array" aca="1" ref="E106" ca="1">[2]!HoadleyOptions2("P",1,$H$24,B106,$E$7,$E$8,$C106,$E$10,"c",$E$14)</f>
        <v>0</v>
      </c>
      <c r="F106" s="47" t="e" cm="1">
        <f t="array" aca="1" ref="F106" ca="1">[2]!HoadleySABROption("P",$H$24,$E$4,$B106,$E$7,$E$8,$E$9,$E$10,$E$11,$B$21,$C$21,$E$14)</f>
        <v>#NUM!</v>
      </c>
      <c r="G106" s="48" cm="1">
        <f t="array" aca="1" ref="G106" ca="1">[2]!HoadleyOptions2("D",1,$H$24,B106,$E$7,$E$8,$C106,$E$10,"c",$E$14)</f>
        <v>0</v>
      </c>
      <c r="H106" s="48" t="e" cm="1">
        <f t="array" aca="1" ref="H106" ca="1">[2]!HoadleySABROption("D",$H$24,$E$4,$B106,$E$7,$E$8,$E$9,$E$10,$E$11,$B$21,$C$21,$E$14)</f>
        <v>#NUM!</v>
      </c>
    </row>
    <row r="107" spans="2:8" x14ac:dyDescent="0.25">
      <c r="B107" s="43"/>
      <c r="C107" s="45"/>
      <c r="D107" s="46" t="e" cm="1">
        <f t="array" aca="1" ref="D107" ca="1">[2]!HoadleySABRBlackVol($E$4,$B107,$E$7,$E$8,$E$9,$E$10,$E$11,$B$21,$C$21,$E$14)</f>
        <v>#NUM!</v>
      </c>
      <c r="E107" s="47" cm="1">
        <f t="array" aca="1" ref="E107" ca="1">[2]!HoadleyOptions2("P",1,$H$24,B107,$E$7,$E$8,$C107,$E$10,"c",$E$14)</f>
        <v>0</v>
      </c>
      <c r="F107" s="47" t="e" cm="1">
        <f t="array" aca="1" ref="F107" ca="1">[2]!HoadleySABROption("P",$H$24,$E$4,$B107,$E$7,$E$8,$E$9,$E$10,$E$11,$B$21,$C$21,$E$14)</f>
        <v>#NUM!</v>
      </c>
      <c r="G107" s="48" cm="1">
        <f t="array" aca="1" ref="G107" ca="1">[2]!HoadleyOptions2("D",1,$H$24,B107,$E$7,$E$8,$C107,$E$10,"c",$E$14)</f>
        <v>0</v>
      </c>
      <c r="H107" s="48" t="e" cm="1">
        <f t="array" aca="1" ref="H107" ca="1">[2]!HoadleySABROption("D",$H$24,$E$4,$B107,$E$7,$E$8,$E$9,$E$10,$E$11,$B$21,$C$21,$E$14)</f>
        <v>#NUM!</v>
      </c>
    </row>
    <row r="108" spans="2:8" x14ac:dyDescent="0.25">
      <c r="B108" s="43"/>
      <c r="C108" s="45"/>
      <c r="D108" s="46" t="e" cm="1">
        <f t="array" aca="1" ref="D108" ca="1">[2]!HoadleySABRBlackVol($E$4,$B108,$E$7,$E$8,$E$9,$E$10,$E$11,$B$21,$C$21,$E$14)</f>
        <v>#NUM!</v>
      </c>
      <c r="E108" s="47" cm="1">
        <f t="array" aca="1" ref="E108" ca="1">[2]!HoadleyOptions2("P",1,$H$24,B108,$E$7,$E$8,$C108,$E$10,"c",$E$14)</f>
        <v>0</v>
      </c>
      <c r="F108" s="47" t="e" cm="1">
        <f t="array" aca="1" ref="F108" ca="1">[2]!HoadleySABROption("P",$H$24,$E$4,$B108,$E$7,$E$8,$E$9,$E$10,$E$11,$B$21,$C$21,$E$14)</f>
        <v>#NUM!</v>
      </c>
      <c r="G108" s="48" cm="1">
        <f t="array" aca="1" ref="G108" ca="1">[2]!HoadleyOptions2("D",1,$H$24,B108,$E$7,$E$8,$C108,$E$10,"c",$E$14)</f>
        <v>0</v>
      </c>
      <c r="H108" s="48" t="e" cm="1">
        <f t="array" aca="1" ref="H108" ca="1">[2]!HoadleySABROption("D",$H$24,$E$4,$B108,$E$7,$E$8,$E$9,$E$10,$E$11,$B$21,$C$21,$E$14)</f>
        <v>#NUM!</v>
      </c>
    </row>
    <row r="109" spans="2:8" x14ac:dyDescent="0.25">
      <c r="B109" s="43"/>
      <c r="C109" s="45"/>
      <c r="D109" s="46" t="e" cm="1">
        <f t="array" aca="1" ref="D109" ca="1">[2]!HoadleySABRBlackVol($E$4,$B109,$E$7,$E$8,$E$9,$E$10,$E$11,$B$21,$C$21,$E$14)</f>
        <v>#NUM!</v>
      </c>
      <c r="E109" s="47" cm="1">
        <f t="array" aca="1" ref="E109" ca="1">[2]!HoadleyOptions2("P",1,$H$24,B109,$E$7,$E$8,$C109,$E$10,"c",$E$14)</f>
        <v>0</v>
      </c>
      <c r="F109" s="47" t="e" cm="1">
        <f t="array" aca="1" ref="F109" ca="1">[2]!HoadleySABROption("P",$H$24,$E$4,$B109,$E$7,$E$8,$E$9,$E$10,$E$11,$B$21,$C$21,$E$14)</f>
        <v>#NUM!</v>
      </c>
      <c r="G109" s="48" cm="1">
        <f t="array" aca="1" ref="G109" ca="1">[2]!HoadleyOptions2("D",1,$H$24,B109,$E$7,$E$8,$C109,$E$10,"c",$E$14)</f>
        <v>0</v>
      </c>
      <c r="H109" s="48" t="e" cm="1">
        <f t="array" aca="1" ref="H109" ca="1">[2]!HoadleySABROption("D",$H$24,$E$4,$B109,$E$7,$E$8,$E$9,$E$10,$E$11,$B$21,$C$21,$E$14)</f>
        <v>#NUM!</v>
      </c>
    </row>
    <row r="110" spans="2:8" x14ac:dyDescent="0.25">
      <c r="B110" s="43"/>
      <c r="C110" s="45"/>
      <c r="D110" s="46" t="e" cm="1">
        <f t="array" aca="1" ref="D110" ca="1">[2]!HoadleySABRBlackVol($E$4,$B110,$E$7,$E$8,$E$9,$E$10,$E$11,$B$21,$C$21,$E$14)</f>
        <v>#NUM!</v>
      </c>
      <c r="E110" s="47" cm="1">
        <f t="array" aca="1" ref="E110" ca="1">[2]!HoadleyOptions2("P",1,$H$24,B110,$E$7,$E$8,$C110,$E$10,"c",$E$14)</f>
        <v>0</v>
      </c>
      <c r="F110" s="47" t="e" cm="1">
        <f t="array" aca="1" ref="F110" ca="1">[2]!HoadleySABROption("P",$H$24,$E$4,$B110,$E$7,$E$8,$E$9,$E$10,$E$11,$B$21,$C$21,$E$14)</f>
        <v>#NUM!</v>
      </c>
      <c r="G110" s="48" cm="1">
        <f t="array" aca="1" ref="G110" ca="1">[2]!HoadleyOptions2("D",1,$H$24,B110,$E$7,$E$8,$C110,$E$10,"c",$E$14)</f>
        <v>0</v>
      </c>
      <c r="H110" s="48" t="e" cm="1">
        <f t="array" aca="1" ref="H110" ca="1">[2]!HoadleySABROption("D",$H$24,$E$4,$B110,$E$7,$E$8,$E$9,$E$10,$E$11,$B$21,$C$21,$E$14)</f>
        <v>#NUM!</v>
      </c>
    </row>
    <row r="111" spans="2:8" x14ac:dyDescent="0.25">
      <c r="B111" s="43"/>
      <c r="C111" s="45"/>
      <c r="D111" s="46" t="e" cm="1">
        <f t="array" aca="1" ref="D111" ca="1">[2]!HoadleySABRBlackVol($E$4,$B111,$E$7,$E$8,$E$9,$E$10,$E$11,$B$21,$C$21,$E$14)</f>
        <v>#NUM!</v>
      </c>
      <c r="E111" s="47" cm="1">
        <f t="array" aca="1" ref="E111" ca="1">[2]!HoadleyOptions2("P",1,$H$24,B111,$E$7,$E$8,$C111,$E$10,"c",$E$14)</f>
        <v>0</v>
      </c>
      <c r="F111" s="47" t="e" cm="1">
        <f t="array" aca="1" ref="F111" ca="1">[2]!HoadleySABROption("P",$H$24,$E$4,$B111,$E$7,$E$8,$E$9,$E$10,$E$11,$B$21,$C$21,$E$14)</f>
        <v>#NUM!</v>
      </c>
      <c r="G111" s="48" cm="1">
        <f t="array" aca="1" ref="G111" ca="1">[2]!HoadleyOptions2("D",1,$H$24,B111,$E$7,$E$8,$C111,$E$10,"c",$E$14)</f>
        <v>0</v>
      </c>
      <c r="H111" s="48" t="e" cm="1">
        <f t="array" aca="1" ref="H111" ca="1">[2]!HoadleySABROption("D",$H$24,$E$4,$B111,$E$7,$E$8,$E$9,$E$10,$E$11,$B$21,$C$21,$E$14)</f>
        <v>#NUM!</v>
      </c>
    </row>
    <row r="112" spans="2:8" x14ac:dyDescent="0.25">
      <c r="B112" s="43"/>
      <c r="C112" s="45"/>
      <c r="D112" s="46" t="e" cm="1">
        <f t="array" aca="1" ref="D112" ca="1">[2]!HoadleySABRBlackVol($E$4,$B112,$E$7,$E$8,$E$9,$E$10,$E$11,$B$21,$C$21,$E$14)</f>
        <v>#NUM!</v>
      </c>
      <c r="E112" s="47" cm="1">
        <f t="array" aca="1" ref="E112" ca="1">[2]!HoadleyOptions2("P",1,$H$24,B112,$E$7,$E$8,$C112,$E$10,"c",$E$14)</f>
        <v>0</v>
      </c>
      <c r="F112" s="47" t="e" cm="1">
        <f t="array" aca="1" ref="F112" ca="1">[2]!HoadleySABROption("P",$H$24,$E$4,$B112,$E$7,$E$8,$E$9,$E$10,$E$11,$B$21,$C$21,$E$14)</f>
        <v>#NUM!</v>
      </c>
      <c r="G112" s="48" cm="1">
        <f t="array" aca="1" ref="G112" ca="1">[2]!HoadleyOptions2("D",1,$H$24,B112,$E$7,$E$8,$C112,$E$10,"c",$E$14)</f>
        <v>0</v>
      </c>
      <c r="H112" s="48" t="e" cm="1">
        <f t="array" aca="1" ref="H112" ca="1">[2]!HoadleySABROption("D",$H$24,$E$4,$B112,$E$7,$E$8,$E$9,$E$10,$E$11,$B$21,$C$21,$E$14)</f>
        <v>#NUM!</v>
      </c>
    </row>
    <row r="113" spans="2:8" x14ac:dyDescent="0.25">
      <c r="B113" s="43"/>
      <c r="C113" s="45"/>
      <c r="D113" s="46" t="e" cm="1">
        <f t="array" aca="1" ref="D113" ca="1">[2]!HoadleySABRBlackVol($E$4,$B113,$E$7,$E$8,$E$9,$E$10,$E$11,$B$21,$C$21,$E$14)</f>
        <v>#NUM!</v>
      </c>
      <c r="E113" s="47" cm="1">
        <f t="array" aca="1" ref="E113" ca="1">[2]!HoadleyOptions2("P",1,$H$24,B113,$E$7,$E$8,$C113,$E$10,"c",$E$14)</f>
        <v>0</v>
      </c>
      <c r="F113" s="47" t="e" cm="1">
        <f t="array" aca="1" ref="F113" ca="1">[2]!HoadleySABROption("P",$H$24,$E$4,$B113,$E$7,$E$8,$E$9,$E$10,$E$11,$B$21,$C$21,$E$14)</f>
        <v>#NUM!</v>
      </c>
      <c r="G113" s="48" cm="1">
        <f t="array" aca="1" ref="G113" ca="1">[2]!HoadleyOptions2("D",1,$H$24,B113,$E$7,$E$8,$C113,$E$10,"c",$E$14)</f>
        <v>0</v>
      </c>
      <c r="H113" s="48" t="e" cm="1">
        <f t="array" aca="1" ref="H113" ca="1">[2]!HoadleySABROption("D",$H$24,$E$4,$B113,$E$7,$E$8,$E$9,$E$10,$E$11,$B$21,$C$21,$E$14)</f>
        <v>#NUM!</v>
      </c>
    </row>
    <row r="114" spans="2:8" x14ac:dyDescent="0.25">
      <c r="B114" s="43"/>
      <c r="C114" s="45"/>
      <c r="D114" s="46" t="e" cm="1">
        <f t="array" aca="1" ref="D114" ca="1">[2]!HoadleySABRBlackVol($E$4,$B114,$E$7,$E$8,$E$9,$E$10,$E$11,$B$21,$C$21,$E$14)</f>
        <v>#NUM!</v>
      </c>
      <c r="E114" s="47" cm="1">
        <f t="array" aca="1" ref="E114" ca="1">[2]!HoadleyOptions2("P",1,$H$24,B114,$E$7,$E$8,$C114,$E$10,"c",$E$14)</f>
        <v>0</v>
      </c>
      <c r="F114" s="47" t="e" cm="1">
        <f t="array" aca="1" ref="F114" ca="1">[2]!HoadleySABROption("P",$H$24,$E$4,$B114,$E$7,$E$8,$E$9,$E$10,$E$11,$B$21,$C$21,$E$14)</f>
        <v>#NUM!</v>
      </c>
      <c r="G114" s="48" cm="1">
        <f t="array" aca="1" ref="G114" ca="1">[2]!HoadleyOptions2("D",1,$H$24,B114,$E$7,$E$8,$C114,$E$10,"c",$E$14)</f>
        <v>0</v>
      </c>
      <c r="H114" s="48" t="e" cm="1">
        <f t="array" aca="1" ref="H114" ca="1">[2]!HoadleySABROption("D",$H$24,$E$4,$B114,$E$7,$E$8,$E$9,$E$10,$E$11,$B$21,$C$21,$E$14)</f>
        <v>#NUM!</v>
      </c>
    </row>
    <row r="115" spans="2:8" x14ac:dyDescent="0.25">
      <c r="B115" s="43"/>
      <c r="C115" s="45"/>
      <c r="D115" s="46" t="e" cm="1">
        <f t="array" aca="1" ref="D115" ca="1">[2]!HoadleySABRBlackVol($E$4,$B115,$E$7,$E$8,$E$9,$E$10,$E$11,$B$21,$C$21,$E$14)</f>
        <v>#NUM!</v>
      </c>
      <c r="E115" s="47" cm="1">
        <f t="array" aca="1" ref="E115" ca="1">[2]!HoadleyOptions2("P",1,$H$24,B115,$E$7,$E$8,$C115,$E$10,"c",$E$14)</f>
        <v>0</v>
      </c>
      <c r="F115" s="47" t="e" cm="1">
        <f t="array" aca="1" ref="F115" ca="1">[2]!HoadleySABROption("P",$H$24,$E$4,$B115,$E$7,$E$8,$E$9,$E$10,$E$11,$B$21,$C$21,$E$14)</f>
        <v>#NUM!</v>
      </c>
      <c r="G115" s="48" cm="1">
        <f t="array" aca="1" ref="G115" ca="1">[2]!HoadleyOptions2("D",1,$H$24,B115,$E$7,$E$8,$C115,$E$10,"c",$E$14)</f>
        <v>0</v>
      </c>
      <c r="H115" s="48" t="e" cm="1">
        <f t="array" aca="1" ref="H115" ca="1">[2]!HoadleySABROption("D",$H$24,$E$4,$B115,$E$7,$E$8,$E$9,$E$10,$E$11,$B$21,$C$21,$E$14)</f>
        <v>#NUM!</v>
      </c>
    </row>
    <row r="116" spans="2:8" x14ac:dyDescent="0.25">
      <c r="B116" s="43"/>
      <c r="C116" s="45"/>
      <c r="D116" s="46" t="e" cm="1">
        <f t="array" aca="1" ref="D116" ca="1">[2]!HoadleySABRBlackVol($E$4,$B116,$E$7,$E$8,$E$9,$E$10,$E$11,$B$21,$C$21,$E$14)</f>
        <v>#NUM!</v>
      </c>
      <c r="E116" s="47" cm="1">
        <f t="array" aca="1" ref="E116" ca="1">[2]!HoadleyOptions2("P",1,$H$24,B116,$E$7,$E$8,$C116,$E$10,"c",$E$14)</f>
        <v>0</v>
      </c>
      <c r="F116" s="47" t="e" cm="1">
        <f t="array" aca="1" ref="F116" ca="1">[2]!HoadleySABROption("P",$H$24,$E$4,$B116,$E$7,$E$8,$E$9,$E$10,$E$11,$B$21,$C$21,$E$14)</f>
        <v>#NUM!</v>
      </c>
      <c r="G116" s="48" cm="1">
        <f t="array" aca="1" ref="G116" ca="1">[2]!HoadleyOptions2("D",1,$H$24,B116,$E$7,$E$8,$C116,$E$10,"c",$E$14)</f>
        <v>0</v>
      </c>
      <c r="H116" s="48" t="e" cm="1">
        <f t="array" aca="1" ref="H116" ca="1">[2]!HoadleySABROption("D",$H$24,$E$4,$B116,$E$7,$E$8,$E$9,$E$10,$E$11,$B$21,$C$21,$E$14)</f>
        <v>#NUM!</v>
      </c>
    </row>
    <row r="117" spans="2:8" x14ac:dyDescent="0.25">
      <c r="B117" s="43"/>
      <c r="C117" s="45"/>
      <c r="D117" s="46" t="e" cm="1">
        <f t="array" aca="1" ref="D117" ca="1">[2]!HoadleySABRBlackVol($E$4,$B117,$E$7,$E$8,$E$9,$E$10,$E$11,$B$21,$C$21,$E$14)</f>
        <v>#NUM!</v>
      </c>
      <c r="E117" s="47" cm="1">
        <f t="array" aca="1" ref="E117" ca="1">[2]!HoadleyOptions2("P",1,$H$24,B117,$E$7,$E$8,$C117,$E$10,"c",$E$14)</f>
        <v>0</v>
      </c>
      <c r="F117" s="47" t="e" cm="1">
        <f t="array" aca="1" ref="F117" ca="1">[2]!HoadleySABROption("P",$H$24,$E$4,$B117,$E$7,$E$8,$E$9,$E$10,$E$11,$B$21,$C$21,$E$14)</f>
        <v>#NUM!</v>
      </c>
      <c r="G117" s="48" cm="1">
        <f t="array" aca="1" ref="G117" ca="1">[2]!HoadleyOptions2("D",1,$H$24,B117,$E$7,$E$8,$C117,$E$10,"c",$E$14)</f>
        <v>0</v>
      </c>
      <c r="H117" s="48" t="e" cm="1">
        <f t="array" aca="1" ref="H117" ca="1">[2]!HoadleySABROption("D",$H$24,$E$4,$B117,$E$7,$E$8,$E$9,$E$10,$E$11,$B$21,$C$21,$E$14)</f>
        <v>#NUM!</v>
      </c>
    </row>
    <row r="118" spans="2:8" x14ac:dyDescent="0.25">
      <c r="B118" s="43"/>
      <c r="C118" s="45"/>
      <c r="D118" s="46" t="e" cm="1">
        <f t="array" aca="1" ref="D118" ca="1">[2]!HoadleySABRBlackVol($E$4,$B118,$E$7,$E$8,$E$9,$E$10,$E$11,$B$21,$C$21,$E$14)</f>
        <v>#NUM!</v>
      </c>
      <c r="E118" s="47" cm="1">
        <f t="array" aca="1" ref="E118" ca="1">[2]!HoadleyOptions2("P",1,$H$24,B118,$E$7,$E$8,$C118,$E$10,"c",$E$14)</f>
        <v>0</v>
      </c>
      <c r="F118" s="47" t="e" cm="1">
        <f t="array" aca="1" ref="F118" ca="1">[2]!HoadleySABROption("P",$H$24,$E$4,$B118,$E$7,$E$8,$E$9,$E$10,$E$11,$B$21,$C$21,$E$14)</f>
        <v>#NUM!</v>
      </c>
      <c r="G118" s="48" cm="1">
        <f t="array" aca="1" ref="G118" ca="1">[2]!HoadleyOptions2("D",1,$H$24,B118,$E$7,$E$8,$C118,$E$10,"c",$E$14)</f>
        <v>0</v>
      </c>
      <c r="H118" s="48" t="e" cm="1">
        <f t="array" aca="1" ref="H118" ca="1">[2]!HoadleySABROption("D",$H$24,$E$4,$B118,$E$7,$E$8,$E$9,$E$10,$E$11,$B$21,$C$21,$E$14)</f>
        <v>#NUM!</v>
      </c>
    </row>
    <row r="119" spans="2:8" x14ac:dyDescent="0.25">
      <c r="B119" s="43"/>
      <c r="C119" s="45"/>
      <c r="D119" s="46" t="e" cm="1">
        <f t="array" aca="1" ref="D119" ca="1">[2]!HoadleySABRBlackVol($E$4,$B119,$E$7,$E$8,$E$9,$E$10,$E$11,$B$21,$C$21,$E$14)</f>
        <v>#NUM!</v>
      </c>
      <c r="E119" s="47" cm="1">
        <f t="array" aca="1" ref="E119" ca="1">[2]!HoadleyOptions2("P",1,$H$24,B119,$E$7,$E$8,$C119,$E$10,"c",$E$14)</f>
        <v>0</v>
      </c>
      <c r="F119" s="47" t="e" cm="1">
        <f t="array" aca="1" ref="F119" ca="1">[2]!HoadleySABROption("P",$H$24,$E$4,$B119,$E$7,$E$8,$E$9,$E$10,$E$11,$B$21,$C$21,$E$14)</f>
        <v>#NUM!</v>
      </c>
      <c r="G119" s="48" cm="1">
        <f t="array" aca="1" ref="G119" ca="1">[2]!HoadleyOptions2("D",1,$H$24,B119,$E$7,$E$8,$C119,$E$10,"c",$E$14)</f>
        <v>0</v>
      </c>
      <c r="H119" s="48" t="e" cm="1">
        <f t="array" aca="1" ref="H119" ca="1">[2]!HoadleySABROption("D",$H$24,$E$4,$B119,$E$7,$E$8,$E$9,$E$10,$E$11,$B$21,$C$21,$E$14)</f>
        <v>#NUM!</v>
      </c>
    </row>
    <row r="120" spans="2:8" x14ac:dyDescent="0.25">
      <c r="B120" s="43"/>
      <c r="C120" s="45"/>
      <c r="D120" s="46" t="e" cm="1">
        <f t="array" aca="1" ref="D120" ca="1">[2]!HoadleySABRBlackVol($E$4,$B120,$E$7,$E$8,$E$9,$E$10,$E$11,$B$21,$C$21,$E$14)</f>
        <v>#NUM!</v>
      </c>
      <c r="E120" s="47" cm="1">
        <f t="array" aca="1" ref="E120" ca="1">[2]!HoadleyOptions2("P",1,$H$24,B120,$E$7,$E$8,$C120,$E$10,"c",$E$14)</f>
        <v>0</v>
      </c>
      <c r="F120" s="47" t="e" cm="1">
        <f t="array" aca="1" ref="F120" ca="1">[2]!HoadleySABROption("P",$H$24,$E$4,$B120,$E$7,$E$8,$E$9,$E$10,$E$11,$B$21,$C$21,$E$14)</f>
        <v>#NUM!</v>
      </c>
      <c r="G120" s="48" cm="1">
        <f t="array" aca="1" ref="G120" ca="1">[2]!HoadleyOptions2("D",1,$H$24,B120,$E$7,$E$8,$C120,$E$10,"c",$E$14)</f>
        <v>0</v>
      </c>
      <c r="H120" s="48" t="e" cm="1">
        <f t="array" aca="1" ref="H120" ca="1">[2]!HoadleySABROption("D",$H$24,$E$4,$B120,$E$7,$E$8,$E$9,$E$10,$E$11,$B$21,$C$21,$E$14)</f>
        <v>#NUM!</v>
      </c>
    </row>
    <row r="121" spans="2:8" x14ac:dyDescent="0.25">
      <c r="B121" s="43"/>
      <c r="C121" s="45"/>
      <c r="D121" s="46" t="e" cm="1">
        <f t="array" aca="1" ref="D121" ca="1">[2]!HoadleySABRBlackVol($E$4,$B121,$E$7,$E$8,$E$9,$E$10,$E$11,$B$21,$C$21,$E$14)</f>
        <v>#NUM!</v>
      </c>
      <c r="E121" s="47" cm="1">
        <f t="array" aca="1" ref="E121" ca="1">[2]!HoadleyOptions2("P",1,$H$24,B121,$E$7,$E$8,$C121,$E$10,"c",$E$14)</f>
        <v>0</v>
      </c>
      <c r="F121" s="47" t="e" cm="1">
        <f t="array" aca="1" ref="F121" ca="1">[2]!HoadleySABROption("P",$H$24,$E$4,$B121,$E$7,$E$8,$E$9,$E$10,$E$11,$B$21,$C$21,$E$14)</f>
        <v>#NUM!</v>
      </c>
      <c r="G121" s="48" cm="1">
        <f t="array" aca="1" ref="G121" ca="1">[2]!HoadleyOptions2("D",1,$H$24,B121,$E$7,$E$8,$C121,$E$10,"c",$E$14)</f>
        <v>0</v>
      </c>
      <c r="H121" s="48" t="e" cm="1">
        <f t="array" aca="1" ref="H121" ca="1">[2]!HoadleySABROption("D",$H$24,$E$4,$B121,$E$7,$E$8,$E$9,$E$10,$E$11,$B$21,$C$21,$E$14)</f>
        <v>#NUM!</v>
      </c>
    </row>
    <row r="122" spans="2:8" x14ac:dyDescent="0.25">
      <c r="B122" s="43"/>
      <c r="C122" s="45"/>
      <c r="D122" s="46" t="e" cm="1">
        <f t="array" aca="1" ref="D122" ca="1">[2]!HoadleySABRBlackVol($E$4,$B122,$E$7,$E$8,$E$9,$E$10,$E$11,$B$21,$C$21,$E$14)</f>
        <v>#NUM!</v>
      </c>
      <c r="E122" s="47" cm="1">
        <f t="array" aca="1" ref="E122" ca="1">[2]!HoadleyOptions2("P",1,$H$24,B122,$E$7,$E$8,$C122,$E$10,"c",$E$14)</f>
        <v>0</v>
      </c>
      <c r="F122" s="47" t="e" cm="1">
        <f t="array" aca="1" ref="F122" ca="1">[2]!HoadleySABROption("P",$H$24,$E$4,$B122,$E$7,$E$8,$E$9,$E$10,$E$11,$B$21,$C$21,$E$14)</f>
        <v>#NUM!</v>
      </c>
      <c r="G122" s="48" cm="1">
        <f t="array" aca="1" ref="G122" ca="1">[2]!HoadleyOptions2("D",1,$H$24,B122,$E$7,$E$8,$C122,$E$10,"c",$E$14)</f>
        <v>0</v>
      </c>
      <c r="H122" s="48" t="e" cm="1">
        <f t="array" aca="1" ref="H122" ca="1">[2]!HoadleySABROption("D",$H$24,$E$4,$B122,$E$7,$E$8,$E$9,$E$10,$E$11,$B$21,$C$21,$E$14)</f>
        <v>#NUM!</v>
      </c>
    </row>
    <row r="123" spans="2:8" x14ac:dyDescent="0.25">
      <c r="B123" s="43"/>
      <c r="C123" s="45"/>
      <c r="D123" s="46" t="e" cm="1">
        <f t="array" aca="1" ref="D123" ca="1">[2]!HoadleySABRBlackVol($E$4,$B123,$E$7,$E$8,$E$9,$E$10,$E$11,$B$21,$C$21,$E$14)</f>
        <v>#NUM!</v>
      </c>
      <c r="E123" s="47" cm="1">
        <f t="array" aca="1" ref="E123" ca="1">[2]!HoadleyOptions2("P",1,$H$24,B123,$E$7,$E$8,$C123,$E$10,"c",$E$14)</f>
        <v>0</v>
      </c>
      <c r="F123" s="47" t="e" cm="1">
        <f t="array" aca="1" ref="F123" ca="1">[2]!HoadleySABROption("P",$H$24,$E$4,$B123,$E$7,$E$8,$E$9,$E$10,$E$11,$B$21,$C$21,$E$14)</f>
        <v>#NUM!</v>
      </c>
      <c r="G123" s="48" cm="1">
        <f t="array" aca="1" ref="G123" ca="1">[2]!HoadleyOptions2("D",1,$H$24,B123,$E$7,$E$8,$C123,$E$10,"c",$E$14)</f>
        <v>0</v>
      </c>
      <c r="H123" s="48" t="e" cm="1">
        <f t="array" aca="1" ref="H123" ca="1">[2]!HoadleySABROption("D",$H$24,$E$4,$B123,$E$7,$E$8,$E$9,$E$10,$E$11,$B$21,$C$21,$E$14)</f>
        <v>#NUM!</v>
      </c>
    </row>
    <row r="124" spans="2:8" x14ac:dyDescent="0.25">
      <c r="B124" s="43"/>
      <c r="C124" s="45"/>
      <c r="D124" s="46" t="e" cm="1">
        <f t="array" aca="1" ref="D124" ca="1">[2]!HoadleySABRBlackVol($E$4,$B124,$E$7,$E$8,$E$9,$E$10,$E$11,$B$21,$C$21,$E$14)</f>
        <v>#NUM!</v>
      </c>
      <c r="E124" s="47" cm="1">
        <f t="array" aca="1" ref="E124" ca="1">[2]!HoadleyOptions2("P",1,$H$24,B124,$E$7,$E$8,$C124,$E$10,"c",$E$14)</f>
        <v>0</v>
      </c>
      <c r="F124" s="47" t="e" cm="1">
        <f t="array" aca="1" ref="F124" ca="1">[2]!HoadleySABROption("P",$H$24,$E$4,$B124,$E$7,$E$8,$E$9,$E$10,$E$11,$B$21,$C$21,$E$14)</f>
        <v>#NUM!</v>
      </c>
      <c r="G124" s="48" cm="1">
        <f t="array" aca="1" ref="G124" ca="1">[2]!HoadleyOptions2("D",1,$H$24,B124,$E$7,$E$8,$C124,$E$10,"c",$E$14)</f>
        <v>0</v>
      </c>
      <c r="H124" s="48" t="e" cm="1">
        <f t="array" aca="1" ref="H124" ca="1">[2]!HoadleySABROption("D",$H$24,$E$4,$B124,$E$7,$E$8,$E$9,$E$10,$E$11,$B$21,$C$21,$E$14)</f>
        <v>#NUM!</v>
      </c>
    </row>
    <row r="125" spans="2:8" x14ac:dyDescent="0.25">
      <c r="B125" s="43"/>
      <c r="C125" s="45"/>
      <c r="D125" s="46" t="e" cm="1">
        <f t="array" aca="1" ref="D125" ca="1">[2]!HoadleySABRBlackVol($E$4,$B125,$E$7,$E$8,$E$9,$E$10,$E$11,$B$21,$C$21,$E$14)</f>
        <v>#NUM!</v>
      </c>
      <c r="E125" s="47" cm="1">
        <f t="array" aca="1" ref="E125" ca="1">[2]!HoadleyOptions2("P",1,$H$24,B125,$E$7,$E$8,$C125,$E$10,"c",$E$14)</f>
        <v>0</v>
      </c>
      <c r="F125" s="47" t="e" cm="1">
        <f t="array" aca="1" ref="F125" ca="1">[2]!HoadleySABROption("P",$H$24,$E$4,$B125,$E$7,$E$8,$E$9,$E$10,$E$11,$B$21,$C$21,$E$14)</f>
        <v>#NUM!</v>
      </c>
      <c r="G125" s="48" cm="1">
        <f t="array" aca="1" ref="G125" ca="1">[2]!HoadleyOptions2("D",1,$H$24,B125,$E$7,$E$8,$C125,$E$10,"c",$E$14)</f>
        <v>0</v>
      </c>
      <c r="H125" s="48" t="e" cm="1">
        <f t="array" aca="1" ref="H125" ca="1">[2]!HoadleySABROption("D",$H$24,$E$4,$B125,$E$7,$E$8,$E$9,$E$10,$E$11,$B$21,$C$21,$E$14)</f>
        <v>#NUM!</v>
      </c>
    </row>
    <row r="126" spans="2:8" x14ac:dyDescent="0.25">
      <c r="B126" s="43"/>
      <c r="C126" s="45"/>
      <c r="D126" s="46" t="e" cm="1">
        <f t="array" aca="1" ref="D126" ca="1">[2]!HoadleySABRBlackVol($E$4,$B126,$E$7,$E$8,$E$9,$E$10,$E$11,$B$21,$C$21,$E$14)</f>
        <v>#NUM!</v>
      </c>
      <c r="E126" s="47" cm="1">
        <f t="array" aca="1" ref="E126" ca="1">[2]!HoadleyOptions2("P",1,$H$24,B126,$E$7,$E$8,$C126,$E$10,"c",$E$14)</f>
        <v>0</v>
      </c>
      <c r="F126" s="47" t="e" cm="1">
        <f t="array" aca="1" ref="F126" ca="1">[2]!HoadleySABROption("P",$H$24,$E$4,$B126,$E$7,$E$8,$E$9,$E$10,$E$11,$B$21,$C$21,$E$14)</f>
        <v>#NUM!</v>
      </c>
      <c r="G126" s="48" cm="1">
        <f t="array" aca="1" ref="G126" ca="1">[2]!HoadleyOptions2("D",1,$H$24,B126,$E$7,$E$8,$C126,$E$10,"c",$E$14)</f>
        <v>0</v>
      </c>
      <c r="H126" s="48" t="e" cm="1">
        <f t="array" aca="1" ref="H126" ca="1">[2]!HoadleySABROption("D",$H$24,$E$4,$B126,$E$7,$E$8,$E$9,$E$10,$E$11,$B$21,$C$21,$E$14)</f>
        <v>#NUM!</v>
      </c>
    </row>
    <row r="127" spans="2:8" x14ac:dyDescent="0.25">
      <c r="B127" s="43"/>
      <c r="C127" s="45"/>
      <c r="D127" s="46" t="e" cm="1">
        <f t="array" aca="1" ref="D127" ca="1">[2]!HoadleySABRBlackVol($E$4,$B127,$E$7,$E$8,$E$9,$E$10,$E$11,$B$21,$C$21,$E$14)</f>
        <v>#NUM!</v>
      </c>
      <c r="E127" s="47" cm="1">
        <f t="array" aca="1" ref="E127" ca="1">[2]!HoadleyOptions2("P",1,$H$24,B127,$E$7,$E$8,$C127,$E$10,"c",$E$14)</f>
        <v>0</v>
      </c>
      <c r="F127" s="47" t="e" cm="1">
        <f t="array" aca="1" ref="F127" ca="1">[2]!HoadleySABROption("P",$H$24,$E$4,$B127,$E$7,$E$8,$E$9,$E$10,$E$11,$B$21,$C$21,$E$14)</f>
        <v>#NUM!</v>
      </c>
      <c r="G127" s="48" cm="1">
        <f t="array" aca="1" ref="G127" ca="1">[2]!HoadleyOptions2("D",1,$H$24,B127,$E$7,$E$8,$C127,$E$10,"c",$E$14)</f>
        <v>0</v>
      </c>
      <c r="H127" s="48" t="e" cm="1">
        <f t="array" aca="1" ref="H127" ca="1">[2]!HoadleySABROption("D",$H$24,$E$4,$B127,$E$7,$E$8,$E$9,$E$10,$E$11,$B$21,$C$21,$E$14)</f>
        <v>#NUM!</v>
      </c>
    </row>
    <row r="128" spans="2:8" x14ac:dyDescent="0.25">
      <c r="B128" s="43"/>
      <c r="C128" s="45"/>
      <c r="D128" s="46" t="e" cm="1">
        <f t="array" aca="1" ref="D128" ca="1">[2]!HoadleySABRBlackVol($E$4,$B128,$E$7,$E$8,$E$9,$E$10,$E$11,$B$21,$C$21,$E$14)</f>
        <v>#NUM!</v>
      </c>
      <c r="E128" s="47" cm="1">
        <f t="array" aca="1" ref="E128" ca="1">[2]!HoadleyOptions2("P",1,$H$24,B128,$E$7,$E$8,$C128,$E$10,"c",$E$14)</f>
        <v>0</v>
      </c>
      <c r="F128" s="47" t="e" cm="1">
        <f t="array" aca="1" ref="F128" ca="1">[2]!HoadleySABROption("P",$H$24,$E$4,$B128,$E$7,$E$8,$E$9,$E$10,$E$11,$B$21,$C$21,$E$14)</f>
        <v>#NUM!</v>
      </c>
      <c r="G128" s="48" cm="1">
        <f t="array" aca="1" ref="G128" ca="1">[2]!HoadleyOptions2("D",1,$H$24,B128,$E$7,$E$8,$C128,$E$10,"c",$E$14)</f>
        <v>0</v>
      </c>
      <c r="H128" s="48" t="e" cm="1">
        <f t="array" aca="1" ref="H128" ca="1">[2]!HoadleySABROption("D",$H$24,$E$4,$B128,$E$7,$E$8,$E$9,$E$10,$E$11,$B$21,$C$21,$E$14)</f>
        <v>#NUM!</v>
      </c>
    </row>
    <row r="129" spans="2:8" x14ac:dyDescent="0.25">
      <c r="B129" s="43"/>
      <c r="C129" s="45"/>
      <c r="D129" s="46" t="e" cm="1">
        <f t="array" aca="1" ref="D129" ca="1">[2]!HoadleySABRBlackVol($E$4,$B129,$E$7,$E$8,$E$9,$E$10,$E$11,$B$21,$C$21,$E$14)</f>
        <v>#NUM!</v>
      </c>
      <c r="E129" s="47" cm="1">
        <f t="array" aca="1" ref="E129" ca="1">[2]!HoadleyOptions2("P",1,$H$24,B129,$E$7,$E$8,$C129,$E$10,"c",$E$14)</f>
        <v>0</v>
      </c>
      <c r="F129" s="47" t="e" cm="1">
        <f t="array" aca="1" ref="F129" ca="1">[2]!HoadleySABROption("P",$H$24,$E$4,$B129,$E$7,$E$8,$E$9,$E$10,$E$11,$B$21,$C$21,$E$14)</f>
        <v>#NUM!</v>
      </c>
      <c r="G129" s="48" cm="1">
        <f t="array" aca="1" ref="G129" ca="1">[2]!HoadleyOptions2("D",1,$H$24,B129,$E$7,$E$8,$C129,$E$10,"c",$E$14)</f>
        <v>0</v>
      </c>
      <c r="H129" s="48" t="e" cm="1">
        <f t="array" aca="1" ref="H129" ca="1">[2]!HoadleySABROption("D",$H$24,$E$4,$B129,$E$7,$E$8,$E$9,$E$10,$E$11,$B$21,$C$21,$E$14)</f>
        <v>#NUM!</v>
      </c>
    </row>
    <row r="130" spans="2:8" x14ac:dyDescent="0.25">
      <c r="B130" s="43"/>
      <c r="C130" s="45"/>
      <c r="D130" s="46" t="e" cm="1">
        <f t="array" aca="1" ref="D130" ca="1">[2]!HoadleySABRBlackVol($E$4,$B130,$E$7,$E$8,$E$9,$E$10,$E$11,$B$21,$C$21,$E$14)</f>
        <v>#NUM!</v>
      </c>
      <c r="E130" s="47" cm="1">
        <f t="array" aca="1" ref="E130" ca="1">[2]!HoadleyOptions2("P",1,$H$24,B130,$E$7,$E$8,$C130,$E$10,"c",$E$14)</f>
        <v>0</v>
      </c>
      <c r="F130" s="47" t="e" cm="1">
        <f t="array" aca="1" ref="F130" ca="1">[2]!HoadleySABROption("P",$H$24,$E$4,$B130,$E$7,$E$8,$E$9,$E$10,$E$11,$B$21,$C$21,$E$14)</f>
        <v>#NUM!</v>
      </c>
      <c r="G130" s="48" cm="1">
        <f t="array" aca="1" ref="G130" ca="1">[2]!HoadleyOptions2("D",1,$H$24,B130,$E$7,$E$8,$C130,$E$10,"c",$E$14)</f>
        <v>0</v>
      </c>
      <c r="H130" s="48" t="e" cm="1">
        <f t="array" aca="1" ref="H130" ca="1">[2]!HoadleySABROption("D",$H$24,$E$4,$B130,$E$7,$E$8,$E$9,$E$10,$E$11,$B$21,$C$21,$E$14)</f>
        <v>#NUM!</v>
      </c>
    </row>
    <row r="131" spans="2:8" x14ac:dyDescent="0.25">
      <c r="B131" s="43"/>
      <c r="C131" s="45"/>
      <c r="D131" s="46" t="e" cm="1">
        <f t="array" aca="1" ref="D131" ca="1">[2]!HoadleySABRBlackVol($E$4,$B131,$E$7,$E$8,$E$9,$E$10,$E$11,$B$21,$C$21,$E$14)</f>
        <v>#NUM!</v>
      </c>
      <c r="E131" s="47" cm="1">
        <f t="array" aca="1" ref="E131" ca="1">[2]!HoadleyOptions2("P",1,$H$24,B131,$E$7,$E$8,$C131,$E$10,"c",$E$14)</f>
        <v>0</v>
      </c>
      <c r="F131" s="47" t="e" cm="1">
        <f t="array" aca="1" ref="F131" ca="1">[2]!HoadleySABROption("P",$H$24,$E$4,$B131,$E$7,$E$8,$E$9,$E$10,$E$11,$B$21,$C$21,$E$14)</f>
        <v>#NUM!</v>
      </c>
      <c r="G131" s="48" cm="1">
        <f t="array" aca="1" ref="G131" ca="1">[2]!HoadleyOptions2("D",1,$H$24,B131,$E$7,$E$8,$C131,$E$10,"c",$E$14)</f>
        <v>0</v>
      </c>
      <c r="H131" s="48" t="e" cm="1">
        <f t="array" aca="1" ref="H131" ca="1">[2]!HoadleySABROption("D",$H$24,$E$4,$B131,$E$7,$E$8,$E$9,$E$10,$E$11,$B$21,$C$21,$E$14)</f>
        <v>#NUM!</v>
      </c>
    </row>
    <row r="132" spans="2:8" x14ac:dyDescent="0.25">
      <c r="B132" s="43"/>
      <c r="C132" s="45"/>
      <c r="D132" s="46" t="e" cm="1">
        <f t="array" aca="1" ref="D132" ca="1">[2]!HoadleySABRBlackVol($E$4,$B132,$E$7,$E$8,$E$9,$E$10,$E$11,$B$21,$C$21,$E$14)</f>
        <v>#NUM!</v>
      </c>
      <c r="E132" s="47" cm="1">
        <f t="array" aca="1" ref="E132" ca="1">[2]!HoadleyOptions2("P",1,$H$24,B132,$E$7,$E$8,$C132,$E$10,"c",$E$14)</f>
        <v>0</v>
      </c>
      <c r="F132" s="47" t="e" cm="1">
        <f t="array" aca="1" ref="F132" ca="1">[2]!HoadleySABROption("P",$H$24,$E$4,$B132,$E$7,$E$8,$E$9,$E$10,$E$11,$B$21,$C$21,$E$14)</f>
        <v>#NUM!</v>
      </c>
      <c r="G132" s="48" cm="1">
        <f t="array" aca="1" ref="G132" ca="1">[2]!HoadleyOptions2("D",1,$H$24,B132,$E$7,$E$8,$C132,$E$10,"c",$E$14)</f>
        <v>0</v>
      </c>
      <c r="H132" s="48" t="e" cm="1">
        <f t="array" aca="1" ref="H132" ca="1">[2]!HoadleySABROption("D",$H$24,$E$4,$B132,$E$7,$E$8,$E$9,$E$10,$E$11,$B$21,$C$21,$E$14)</f>
        <v>#NUM!</v>
      </c>
    </row>
    <row r="133" spans="2:8" x14ac:dyDescent="0.25">
      <c r="B133" s="43"/>
      <c r="C133" s="45"/>
      <c r="D133" s="46" t="e" cm="1">
        <f t="array" aca="1" ref="D133" ca="1">[2]!HoadleySABRBlackVol($E$4,$B133,$E$7,$E$8,$E$9,$E$10,$E$11,$B$21,$C$21,$E$14)</f>
        <v>#NUM!</v>
      </c>
      <c r="E133" s="47" cm="1">
        <f t="array" aca="1" ref="E133" ca="1">[2]!HoadleyOptions2("P",1,$H$24,B133,$E$7,$E$8,$C133,$E$10,"c",$E$14)</f>
        <v>0</v>
      </c>
      <c r="F133" s="47" t="e" cm="1">
        <f t="array" aca="1" ref="F133" ca="1">[2]!HoadleySABROption("P",$H$24,$E$4,$B133,$E$7,$E$8,$E$9,$E$10,$E$11,$B$21,$C$21,$E$14)</f>
        <v>#NUM!</v>
      </c>
      <c r="G133" s="48" cm="1">
        <f t="array" aca="1" ref="G133" ca="1">[2]!HoadleyOptions2("D",1,$H$24,B133,$E$7,$E$8,$C133,$E$10,"c",$E$14)</f>
        <v>0</v>
      </c>
      <c r="H133" s="48" t="e" cm="1">
        <f t="array" aca="1" ref="H133" ca="1">[2]!HoadleySABROption("D",$H$24,$E$4,$B133,$E$7,$E$8,$E$9,$E$10,$E$11,$B$21,$C$21,$E$14)</f>
        <v>#NUM!</v>
      </c>
    </row>
    <row r="134" spans="2:8" x14ac:dyDescent="0.25">
      <c r="B134" s="43"/>
      <c r="C134" s="45"/>
      <c r="D134" s="46" t="e" cm="1">
        <f t="array" aca="1" ref="D134" ca="1">[2]!HoadleySABRBlackVol($E$4,$B134,$E$7,$E$8,$E$9,$E$10,$E$11,$B$21,$C$21,$E$14)</f>
        <v>#NUM!</v>
      </c>
      <c r="E134" s="47" cm="1">
        <f t="array" aca="1" ref="E134" ca="1">[2]!HoadleyOptions2("P",1,$H$24,B134,$E$7,$E$8,$C134,$E$10,"c",$E$14)</f>
        <v>0</v>
      </c>
      <c r="F134" s="47" t="e" cm="1">
        <f t="array" aca="1" ref="F134" ca="1">[2]!HoadleySABROption("P",$H$24,$E$4,$B134,$E$7,$E$8,$E$9,$E$10,$E$11,$B$21,$C$21,$E$14)</f>
        <v>#NUM!</v>
      </c>
      <c r="G134" s="48" cm="1">
        <f t="array" aca="1" ref="G134" ca="1">[2]!HoadleyOptions2("D",1,$H$24,B134,$E$7,$E$8,$C134,$E$10,"c",$E$14)</f>
        <v>0</v>
      </c>
      <c r="H134" s="48" t="e" cm="1">
        <f t="array" aca="1" ref="H134" ca="1">[2]!HoadleySABROption("D",$H$24,$E$4,$B134,$E$7,$E$8,$E$9,$E$10,$E$11,$B$21,$C$21,$E$14)</f>
        <v>#NUM!</v>
      </c>
    </row>
    <row r="135" spans="2:8" x14ac:dyDescent="0.25">
      <c r="B135" s="43"/>
      <c r="C135" s="45"/>
      <c r="D135" s="46" t="e" cm="1">
        <f t="array" aca="1" ref="D135" ca="1">[2]!HoadleySABRBlackVol($E$4,$B135,$E$7,$E$8,$E$9,$E$10,$E$11,$B$21,$C$21,$E$14)</f>
        <v>#NUM!</v>
      </c>
      <c r="E135" s="47" cm="1">
        <f t="array" aca="1" ref="E135" ca="1">[2]!HoadleyOptions2("P",1,$H$24,B135,$E$7,$E$8,$C135,$E$10,"c",$E$14)</f>
        <v>0</v>
      </c>
      <c r="F135" s="47" t="e" cm="1">
        <f t="array" aca="1" ref="F135" ca="1">[2]!HoadleySABROption("P",$H$24,$E$4,$B135,$E$7,$E$8,$E$9,$E$10,$E$11,$B$21,$C$21,$E$14)</f>
        <v>#NUM!</v>
      </c>
      <c r="G135" s="48" cm="1">
        <f t="array" aca="1" ref="G135" ca="1">[2]!HoadleyOptions2("D",1,$H$24,B135,$E$7,$E$8,$C135,$E$10,"c",$E$14)</f>
        <v>0</v>
      </c>
      <c r="H135" s="48" t="e" cm="1">
        <f t="array" aca="1" ref="H135" ca="1">[2]!HoadleySABROption("D",$H$24,$E$4,$B135,$E$7,$E$8,$E$9,$E$10,$E$11,$B$21,$C$21,$E$14)</f>
        <v>#NUM!</v>
      </c>
    </row>
    <row r="136" spans="2:8" x14ac:dyDescent="0.25">
      <c r="B136" s="43"/>
      <c r="C136" s="45"/>
      <c r="D136" s="46" t="e" cm="1">
        <f t="array" aca="1" ref="D136" ca="1">[2]!HoadleySABRBlackVol($E$4,$B136,$E$7,$E$8,$E$9,$E$10,$E$11,$B$21,$C$21,$E$14)</f>
        <v>#NUM!</v>
      </c>
      <c r="E136" s="47" cm="1">
        <f t="array" aca="1" ref="E136" ca="1">[2]!HoadleyOptions2("P",1,$H$24,B136,$E$7,$E$8,$C136,$E$10,"c",$E$14)</f>
        <v>0</v>
      </c>
      <c r="F136" s="47" t="e" cm="1">
        <f t="array" aca="1" ref="F136" ca="1">[2]!HoadleySABROption("P",$H$24,$E$4,$B136,$E$7,$E$8,$E$9,$E$10,$E$11,$B$21,$C$21,$E$14)</f>
        <v>#NUM!</v>
      </c>
      <c r="G136" s="48" cm="1">
        <f t="array" aca="1" ref="G136" ca="1">[2]!HoadleyOptions2("D",1,$H$24,B136,$E$7,$E$8,$C136,$E$10,"c",$E$14)</f>
        <v>0</v>
      </c>
      <c r="H136" s="48" t="e" cm="1">
        <f t="array" aca="1" ref="H136" ca="1">[2]!HoadleySABROption("D",$H$24,$E$4,$B136,$E$7,$E$8,$E$9,$E$10,$E$11,$B$21,$C$21,$E$14)</f>
        <v>#NUM!</v>
      </c>
    </row>
    <row r="137" spans="2:8" x14ac:dyDescent="0.25">
      <c r="B137" s="43"/>
      <c r="C137" s="45"/>
      <c r="D137" s="46" t="e" cm="1">
        <f t="array" aca="1" ref="D137" ca="1">[2]!HoadleySABRBlackVol($E$4,$B137,$E$7,$E$8,$E$9,$E$10,$E$11,$B$21,$C$21,$E$14)</f>
        <v>#NUM!</v>
      </c>
      <c r="E137" s="47" cm="1">
        <f t="array" aca="1" ref="E137" ca="1">[2]!HoadleyOptions2("P",1,$H$24,B137,$E$7,$E$8,$C137,$E$10,"c",$E$14)</f>
        <v>0</v>
      </c>
      <c r="F137" s="47" t="e" cm="1">
        <f t="array" aca="1" ref="F137" ca="1">[2]!HoadleySABROption("P",$H$24,$E$4,$B137,$E$7,$E$8,$E$9,$E$10,$E$11,$B$21,$C$21,$E$14)</f>
        <v>#NUM!</v>
      </c>
      <c r="G137" s="48" cm="1">
        <f t="array" aca="1" ref="G137" ca="1">[2]!HoadleyOptions2("D",1,$H$24,B137,$E$7,$E$8,$C137,$E$10,"c",$E$14)</f>
        <v>0</v>
      </c>
      <c r="H137" s="48" t="e" cm="1">
        <f t="array" aca="1" ref="H137" ca="1">[2]!HoadleySABROption("D",$H$24,$E$4,$B137,$E$7,$E$8,$E$9,$E$10,$E$11,$B$21,$C$21,$E$14)</f>
        <v>#NUM!</v>
      </c>
    </row>
    <row r="138" spans="2:8" x14ac:dyDescent="0.25">
      <c r="B138" s="43"/>
      <c r="C138" s="45"/>
      <c r="D138" s="46" t="e" cm="1">
        <f t="array" aca="1" ref="D138" ca="1">[2]!HoadleySABRBlackVol($E$4,$B138,$E$7,$E$8,$E$9,$E$10,$E$11,$B$21,$C$21,$E$14)</f>
        <v>#NUM!</v>
      </c>
      <c r="E138" s="47" cm="1">
        <f t="array" aca="1" ref="E138" ca="1">[2]!HoadleyOptions2("P",1,$H$24,B138,$E$7,$E$8,$C138,$E$10,"c",$E$14)</f>
        <v>0</v>
      </c>
      <c r="F138" s="47" t="e" cm="1">
        <f t="array" aca="1" ref="F138" ca="1">[2]!HoadleySABROption("P",$H$24,$E$4,$B138,$E$7,$E$8,$E$9,$E$10,$E$11,$B$21,$C$21,$E$14)</f>
        <v>#NUM!</v>
      </c>
      <c r="G138" s="48" cm="1">
        <f t="array" aca="1" ref="G138" ca="1">[2]!HoadleyOptions2("D",1,$H$24,B138,$E$7,$E$8,$C138,$E$10,"c",$E$14)</f>
        <v>0</v>
      </c>
      <c r="H138" s="48" t="e" cm="1">
        <f t="array" aca="1" ref="H138" ca="1">[2]!HoadleySABROption("D",$H$24,$E$4,$B138,$E$7,$E$8,$E$9,$E$10,$E$11,$B$21,$C$21,$E$14)</f>
        <v>#NUM!</v>
      </c>
    </row>
    <row r="139" spans="2:8" x14ac:dyDescent="0.25">
      <c r="B139" s="43"/>
      <c r="C139" s="45"/>
      <c r="D139" s="46" t="e" cm="1">
        <f t="array" aca="1" ref="D139" ca="1">[2]!HoadleySABRBlackVol($E$4,$B139,$E$7,$E$8,$E$9,$E$10,$E$11,$B$21,$C$21,$E$14)</f>
        <v>#NUM!</v>
      </c>
      <c r="E139" s="47" cm="1">
        <f t="array" aca="1" ref="E139" ca="1">[2]!HoadleyOptions2("P",1,$H$24,B139,$E$7,$E$8,$C139,$E$10,"c",$E$14)</f>
        <v>0</v>
      </c>
      <c r="F139" s="47" t="e" cm="1">
        <f t="array" aca="1" ref="F139" ca="1">[2]!HoadleySABROption("P",$H$24,$E$4,$B139,$E$7,$E$8,$E$9,$E$10,$E$11,$B$21,$C$21,$E$14)</f>
        <v>#NUM!</v>
      </c>
      <c r="G139" s="48" cm="1">
        <f t="array" aca="1" ref="G139" ca="1">[2]!HoadleyOptions2("D",1,$H$24,B139,$E$7,$E$8,$C139,$E$10,"c",$E$14)</f>
        <v>0</v>
      </c>
      <c r="H139" s="48" t="e" cm="1">
        <f t="array" aca="1" ref="H139" ca="1">[2]!HoadleySABROption("D",$H$24,$E$4,$B139,$E$7,$E$8,$E$9,$E$10,$E$11,$B$21,$C$21,$E$14)</f>
        <v>#NUM!</v>
      </c>
    </row>
    <row r="140" spans="2:8" x14ac:dyDescent="0.25">
      <c r="B140" s="43"/>
      <c r="C140" s="45"/>
      <c r="D140" s="46" t="e" cm="1">
        <f t="array" aca="1" ref="D140" ca="1">[2]!HoadleySABRBlackVol($E$4,$B140,$E$7,$E$8,$E$9,$E$10,$E$11,$B$21,$C$21,$E$14)</f>
        <v>#NUM!</v>
      </c>
      <c r="E140" s="47" cm="1">
        <f t="array" aca="1" ref="E140" ca="1">[2]!HoadleyOptions2("P",1,$H$24,B140,$E$7,$E$8,$C140,$E$10,"c",$E$14)</f>
        <v>0</v>
      </c>
      <c r="F140" s="47" t="e" cm="1">
        <f t="array" aca="1" ref="F140" ca="1">[2]!HoadleySABROption("P",$H$24,$E$4,$B140,$E$7,$E$8,$E$9,$E$10,$E$11,$B$21,$C$21,$E$14)</f>
        <v>#NUM!</v>
      </c>
      <c r="G140" s="48" cm="1">
        <f t="array" aca="1" ref="G140" ca="1">[2]!HoadleyOptions2("D",1,$H$24,B140,$E$7,$E$8,$C140,$E$10,"c",$E$14)</f>
        <v>0</v>
      </c>
      <c r="H140" s="48" t="e" cm="1">
        <f t="array" aca="1" ref="H140" ca="1">[2]!HoadleySABROption("D",$H$24,$E$4,$B140,$E$7,$E$8,$E$9,$E$10,$E$11,$B$21,$C$21,$E$14)</f>
        <v>#NUM!</v>
      </c>
    </row>
    <row r="141" spans="2:8" x14ac:dyDescent="0.25">
      <c r="B141" s="43"/>
      <c r="C141" s="45"/>
      <c r="D141" s="46" t="e" cm="1">
        <f t="array" aca="1" ref="D141" ca="1">[2]!HoadleySABRBlackVol($E$4,$B141,$E$7,$E$8,$E$9,$E$10,$E$11,$B$21,$C$21,$E$14)</f>
        <v>#NUM!</v>
      </c>
      <c r="E141" s="47" cm="1">
        <f t="array" aca="1" ref="E141" ca="1">[2]!HoadleyOptions2("P",1,$H$24,B141,$E$7,$E$8,$C141,$E$10,"c",$E$14)</f>
        <v>0</v>
      </c>
      <c r="F141" s="47" t="e" cm="1">
        <f t="array" aca="1" ref="F141" ca="1">[2]!HoadleySABROption("P",$H$24,$E$4,$B141,$E$7,$E$8,$E$9,$E$10,$E$11,$B$21,$C$21,$E$14)</f>
        <v>#NUM!</v>
      </c>
      <c r="G141" s="48" cm="1">
        <f t="array" aca="1" ref="G141" ca="1">[2]!HoadleyOptions2("D",1,$H$24,B141,$E$7,$E$8,$C141,$E$10,"c",$E$14)</f>
        <v>0</v>
      </c>
      <c r="H141" s="48" t="e" cm="1">
        <f t="array" aca="1" ref="H141" ca="1">[2]!HoadleySABROption("D",$H$24,$E$4,$B141,$E$7,$E$8,$E$9,$E$10,$E$11,$B$21,$C$21,$E$14)</f>
        <v>#NUM!</v>
      </c>
    </row>
    <row r="142" spans="2:8" x14ac:dyDescent="0.25">
      <c r="B142" s="43"/>
      <c r="C142" s="45"/>
      <c r="D142" s="46" t="e" cm="1">
        <f t="array" aca="1" ref="D142" ca="1">[2]!HoadleySABRBlackVol($E$4,$B142,$E$7,$E$8,$E$9,$E$10,$E$11,$B$21,$C$21,$E$14)</f>
        <v>#NUM!</v>
      </c>
      <c r="E142" s="47" cm="1">
        <f t="array" aca="1" ref="E142" ca="1">[2]!HoadleyOptions2("P",1,$H$24,B142,$E$7,$E$8,$C142,$E$10,"c",$E$14)</f>
        <v>0</v>
      </c>
      <c r="F142" s="47" t="e" cm="1">
        <f t="array" aca="1" ref="F142" ca="1">[2]!HoadleySABROption("P",$H$24,$E$4,$B142,$E$7,$E$8,$E$9,$E$10,$E$11,$B$21,$C$21,$E$14)</f>
        <v>#NUM!</v>
      </c>
      <c r="G142" s="48" cm="1">
        <f t="array" aca="1" ref="G142" ca="1">[2]!HoadleyOptions2("D",1,$H$24,B142,$E$7,$E$8,$C142,$E$10,"c",$E$14)</f>
        <v>0</v>
      </c>
      <c r="H142" s="48" t="e" cm="1">
        <f t="array" aca="1" ref="H142" ca="1">[2]!HoadleySABROption("D",$H$24,$E$4,$B142,$E$7,$E$8,$E$9,$E$10,$E$11,$B$21,$C$21,$E$14)</f>
        <v>#NUM!</v>
      </c>
    </row>
    <row r="143" spans="2:8" x14ac:dyDescent="0.25">
      <c r="B143" s="43"/>
      <c r="C143" s="45"/>
      <c r="D143" s="46" t="e" cm="1">
        <f t="array" aca="1" ref="D143" ca="1">[2]!HoadleySABRBlackVol($E$4,$B143,$E$7,$E$8,$E$9,$E$10,$E$11,$B$21,$C$21,$E$14)</f>
        <v>#NUM!</v>
      </c>
      <c r="E143" s="47" cm="1">
        <f t="array" aca="1" ref="E143" ca="1">[2]!HoadleyOptions2("P",1,$H$24,B143,$E$7,$E$8,$C143,$E$10,"c",$E$14)</f>
        <v>0</v>
      </c>
      <c r="F143" s="47" t="e" cm="1">
        <f t="array" aca="1" ref="F143" ca="1">[2]!HoadleySABROption("P",$H$24,$E$4,$B143,$E$7,$E$8,$E$9,$E$10,$E$11,$B$21,$C$21,$E$14)</f>
        <v>#NUM!</v>
      </c>
      <c r="G143" s="48" cm="1">
        <f t="array" aca="1" ref="G143" ca="1">[2]!HoadleyOptions2("D",1,$H$24,B143,$E$7,$E$8,$C143,$E$10,"c",$E$14)</f>
        <v>0</v>
      </c>
      <c r="H143" s="48" t="e" cm="1">
        <f t="array" aca="1" ref="H143" ca="1">[2]!HoadleySABROption("D",$H$24,$E$4,$B143,$E$7,$E$8,$E$9,$E$10,$E$11,$B$21,$C$21,$E$14)</f>
        <v>#NUM!</v>
      </c>
    </row>
    <row r="144" spans="2:8" x14ac:dyDescent="0.25">
      <c r="B144" s="43"/>
      <c r="C144" s="45"/>
      <c r="D144" s="46" t="e" cm="1">
        <f t="array" aca="1" ref="D144" ca="1">[2]!HoadleySABRBlackVol($E$4,$B144,$E$7,$E$8,$E$9,$E$10,$E$11,$B$21,$C$21,$E$14)</f>
        <v>#NUM!</v>
      </c>
      <c r="E144" s="47" cm="1">
        <f t="array" aca="1" ref="E144" ca="1">[2]!HoadleyOptions2("P",1,$H$24,B144,$E$7,$E$8,$C144,$E$10,"c",$E$14)</f>
        <v>0</v>
      </c>
      <c r="F144" s="47" t="e" cm="1">
        <f t="array" aca="1" ref="F144" ca="1">[2]!HoadleySABROption("P",$H$24,$E$4,$B144,$E$7,$E$8,$E$9,$E$10,$E$11,$B$21,$C$21,$E$14)</f>
        <v>#NUM!</v>
      </c>
      <c r="G144" s="48" cm="1">
        <f t="array" aca="1" ref="G144" ca="1">[2]!HoadleyOptions2("D",1,$H$24,B144,$E$7,$E$8,$C144,$E$10,"c",$E$14)</f>
        <v>0</v>
      </c>
      <c r="H144" s="48" t="e" cm="1">
        <f t="array" aca="1" ref="H144" ca="1">[2]!HoadleySABROption("D",$H$24,$E$4,$B144,$E$7,$E$8,$E$9,$E$10,$E$11,$B$21,$C$21,$E$14)</f>
        <v>#NUM!</v>
      </c>
    </row>
    <row r="145" spans="2:8" x14ac:dyDescent="0.25">
      <c r="B145" s="43"/>
      <c r="C145" s="45"/>
      <c r="D145" s="46" t="e" cm="1">
        <f t="array" aca="1" ref="D145" ca="1">[2]!HoadleySABRBlackVol($E$4,$B145,$E$7,$E$8,$E$9,$E$10,$E$11,$B$21,$C$21,$E$14)</f>
        <v>#NUM!</v>
      </c>
      <c r="E145" s="47" cm="1">
        <f t="array" aca="1" ref="E145" ca="1">[2]!HoadleyOptions2("P",1,$H$24,B145,$E$7,$E$8,$C145,$E$10,"c",$E$14)</f>
        <v>0</v>
      </c>
      <c r="F145" s="47" t="e" cm="1">
        <f t="array" aca="1" ref="F145" ca="1">[2]!HoadleySABROption("P",$H$24,$E$4,$B145,$E$7,$E$8,$E$9,$E$10,$E$11,$B$21,$C$21,$E$14)</f>
        <v>#NUM!</v>
      </c>
      <c r="G145" s="48" cm="1">
        <f t="array" aca="1" ref="G145" ca="1">[2]!HoadleyOptions2("D",1,$H$24,B145,$E$7,$E$8,$C145,$E$10,"c",$E$14)</f>
        <v>0</v>
      </c>
      <c r="H145" s="48" t="e" cm="1">
        <f t="array" aca="1" ref="H145" ca="1">[2]!HoadleySABROption("D",$H$24,$E$4,$B145,$E$7,$E$8,$E$9,$E$10,$E$11,$B$21,$C$21,$E$14)</f>
        <v>#NUM!</v>
      </c>
    </row>
    <row r="146" spans="2:8" x14ac:dyDescent="0.25">
      <c r="B146" s="43"/>
      <c r="C146" s="45"/>
      <c r="D146" s="46" t="e" cm="1">
        <f t="array" aca="1" ref="D146" ca="1">[2]!HoadleySABRBlackVol($E$4,$B146,$E$7,$E$8,$E$9,$E$10,$E$11,$B$21,$C$21,$E$14)</f>
        <v>#NUM!</v>
      </c>
      <c r="E146" s="47" cm="1">
        <f t="array" aca="1" ref="E146" ca="1">[2]!HoadleyOptions2("P",1,$H$24,B146,$E$7,$E$8,$C146,$E$10,"c",$E$14)</f>
        <v>0</v>
      </c>
      <c r="F146" s="47" t="e" cm="1">
        <f t="array" aca="1" ref="F146" ca="1">[2]!HoadleySABROption("P",$H$24,$E$4,$B146,$E$7,$E$8,$E$9,$E$10,$E$11,$B$21,$C$21,$E$14)</f>
        <v>#NUM!</v>
      </c>
      <c r="G146" s="48" cm="1">
        <f t="array" aca="1" ref="G146" ca="1">[2]!HoadleyOptions2("D",1,$H$24,B146,$E$7,$E$8,$C146,$E$10,"c",$E$14)</f>
        <v>0</v>
      </c>
      <c r="H146" s="48" t="e" cm="1">
        <f t="array" aca="1" ref="H146" ca="1">[2]!HoadleySABROption("D",$H$24,$E$4,$B146,$E$7,$E$8,$E$9,$E$10,$E$11,$B$21,$C$21,$E$14)</f>
        <v>#NUM!</v>
      </c>
    </row>
    <row r="147" spans="2:8" x14ac:dyDescent="0.25">
      <c r="B147" s="43"/>
      <c r="C147" s="45"/>
      <c r="D147" s="46" t="e" cm="1">
        <f t="array" aca="1" ref="D147" ca="1">[2]!HoadleySABRBlackVol($E$4,$B147,$E$7,$E$8,$E$9,$E$10,$E$11,$B$21,$C$21,$E$14)</f>
        <v>#NUM!</v>
      </c>
      <c r="E147" s="47" cm="1">
        <f t="array" aca="1" ref="E147" ca="1">[2]!HoadleyOptions2("P",1,$H$24,B147,$E$7,$E$8,$C147,$E$10,"c",$E$14)</f>
        <v>0</v>
      </c>
      <c r="F147" s="47" t="e" cm="1">
        <f t="array" aca="1" ref="F147" ca="1">[2]!HoadleySABROption("P",$H$24,$E$4,$B147,$E$7,$E$8,$E$9,$E$10,$E$11,$B$21,$C$21,$E$14)</f>
        <v>#NUM!</v>
      </c>
      <c r="G147" s="48" cm="1">
        <f t="array" aca="1" ref="G147" ca="1">[2]!HoadleyOptions2("D",1,$H$24,B147,$E$7,$E$8,$C147,$E$10,"c",$E$14)</f>
        <v>0</v>
      </c>
      <c r="H147" s="48" t="e" cm="1">
        <f t="array" aca="1" ref="H147" ca="1">[2]!HoadleySABROption("D",$H$24,$E$4,$B147,$E$7,$E$8,$E$9,$E$10,$E$11,$B$21,$C$21,$E$14)</f>
        <v>#NUM!</v>
      </c>
    </row>
    <row r="148" spans="2:8" x14ac:dyDescent="0.25">
      <c r="B148" s="43"/>
      <c r="C148" s="45"/>
      <c r="D148" s="46" t="e" cm="1">
        <f t="array" aca="1" ref="D148" ca="1">[2]!HoadleySABRBlackVol($E$4,$B148,$E$7,$E$8,$E$9,$E$10,$E$11,$B$21,$C$21,$E$14)</f>
        <v>#NUM!</v>
      </c>
      <c r="E148" s="47" cm="1">
        <f t="array" aca="1" ref="E148" ca="1">[2]!HoadleyOptions2("P",1,$H$24,B148,$E$7,$E$8,$C148,$E$10,"c",$E$14)</f>
        <v>0</v>
      </c>
      <c r="F148" s="47" t="e" cm="1">
        <f t="array" aca="1" ref="F148" ca="1">[2]!HoadleySABROption("P",$H$24,$E$4,$B148,$E$7,$E$8,$E$9,$E$10,$E$11,$B$21,$C$21,$E$14)</f>
        <v>#NUM!</v>
      </c>
      <c r="G148" s="48" cm="1">
        <f t="array" aca="1" ref="G148" ca="1">[2]!HoadleyOptions2("D",1,$H$24,B148,$E$7,$E$8,$C148,$E$10,"c",$E$14)</f>
        <v>0</v>
      </c>
      <c r="H148" s="48" t="e" cm="1">
        <f t="array" aca="1" ref="H148" ca="1">[2]!HoadleySABROption("D",$H$24,$E$4,$B148,$E$7,$E$8,$E$9,$E$10,$E$11,$B$21,$C$21,$E$14)</f>
        <v>#NUM!</v>
      </c>
    </row>
    <row r="149" spans="2:8" x14ac:dyDescent="0.25">
      <c r="B149" s="43"/>
      <c r="C149" s="45"/>
      <c r="D149" s="46" t="e" cm="1">
        <f t="array" aca="1" ref="D149" ca="1">[2]!HoadleySABRBlackVol($E$4,$B149,$E$7,$E$8,$E$9,$E$10,$E$11,$B$21,$C$21,$E$14)</f>
        <v>#NUM!</v>
      </c>
      <c r="E149" s="47" cm="1">
        <f t="array" aca="1" ref="E149" ca="1">[2]!HoadleyOptions2("P",1,$H$24,B149,$E$7,$E$8,$C149,$E$10,"c",$E$14)</f>
        <v>0</v>
      </c>
      <c r="F149" s="47" t="e" cm="1">
        <f t="array" aca="1" ref="F149" ca="1">[2]!HoadleySABROption("P",$H$24,$E$4,$B149,$E$7,$E$8,$E$9,$E$10,$E$11,$B$21,$C$21,$E$14)</f>
        <v>#NUM!</v>
      </c>
      <c r="G149" s="48" cm="1">
        <f t="array" aca="1" ref="G149" ca="1">[2]!HoadleyOptions2("D",1,$H$24,B149,$E$7,$E$8,$C149,$E$10,"c",$E$14)</f>
        <v>0</v>
      </c>
      <c r="H149" s="48" t="e" cm="1">
        <f t="array" aca="1" ref="H149" ca="1">[2]!HoadleySABROption("D",$H$24,$E$4,$B149,$E$7,$E$8,$E$9,$E$10,$E$11,$B$21,$C$21,$E$14)</f>
        <v>#NUM!</v>
      </c>
    </row>
    <row r="150" spans="2:8" x14ac:dyDescent="0.25">
      <c r="B150" s="50"/>
      <c r="C150" s="51"/>
      <c r="D150" s="46" t="e" cm="1">
        <f t="array" aca="1" ref="D150" ca="1">[2]!HoadleySABRBlackVol($E$4,$B150,$E$7,$E$8,$E$9,$E$10,$E$11,$B$21,$C$21,$E$14)</f>
        <v>#NUM!</v>
      </c>
      <c r="E150" s="47" cm="1">
        <f t="array" aca="1" ref="E150" ca="1">[2]!HoadleyOptions2("P",1,$H$24,B150,$E$7,$E$8,$C150,$E$10,"c",$E$14)</f>
        <v>0</v>
      </c>
      <c r="F150" s="47" t="e" cm="1">
        <f t="array" aca="1" ref="F150" ca="1">[2]!HoadleySABROption("P",$H$24,$E$4,$B150,$E$7,$E$8,$E$9,$E$10,$E$11,$B$21,$C$21,$E$14)</f>
        <v>#NUM!</v>
      </c>
      <c r="G150" s="48" cm="1">
        <f t="array" aca="1" ref="G150" ca="1">[2]!HoadleyOptions2("D",1,$H$24,B150,$E$7,$E$8,$C150,$E$10,"c",$E$14)</f>
        <v>0</v>
      </c>
      <c r="H150" s="48" t="e" cm="1">
        <f t="array" aca="1" ref="H150" ca="1">[2]!HoadleySABROption("D",$H$24,$E$4,$B150,$E$7,$E$8,$E$9,$E$10,$E$11,$B$21,$C$21,$E$14)</f>
        <v>#NUM!</v>
      </c>
    </row>
    <row r="152" spans="2:8" x14ac:dyDescent="0.25">
      <c r="C152" s="53"/>
    </row>
    <row r="235" spans="2:2" x14ac:dyDescent="0.25">
      <c r="B235" s="5" t="s">
        <v>23</v>
      </c>
    </row>
    <row r="236" spans="2:2" x14ac:dyDescent="0.25">
      <c r="B236" s="5" t="s">
        <v>35</v>
      </c>
    </row>
  </sheetData>
  <dataValidations disablePrompts="1" count="1">
    <dataValidation type="list" allowBlank="1" showInputMessage="1" showErrorMessage="1" sqref="H24 WVP983064 WLT983064 WBX983064 VSB983064 VIF983064 UYJ983064 UON983064 UER983064 TUV983064 TKZ983064 TBD983064 SRH983064 SHL983064 RXP983064 RNT983064 RDX983064 QUB983064 QKF983064 QAJ983064 PQN983064 PGR983064 OWV983064 OMZ983064 ODD983064 NTH983064 NJL983064 MZP983064 MPT983064 MFX983064 LWB983064 LMF983064 LCJ983064 KSN983064 KIR983064 JYV983064 JOZ983064 JFD983064 IVH983064 ILL983064 IBP983064 HRT983064 HHX983064 GYB983064 GOF983064 GEJ983064 FUN983064 FKR983064 FAV983064 EQZ983064 EHD983064 DXH983064 DNL983064 DDP983064 CTT983064 CJX983064 CAB983064 BQF983064 BGJ983064 AWN983064 AMR983064 ACV983064 SZ983064 JD983064 H983064 WVP917528 WLT917528 WBX917528 VSB917528 VIF917528 UYJ917528 UON917528 UER917528 TUV917528 TKZ917528 TBD917528 SRH917528 SHL917528 RXP917528 RNT917528 RDX917528 QUB917528 QKF917528 QAJ917528 PQN917528 PGR917528 OWV917528 OMZ917528 ODD917528 NTH917528 NJL917528 MZP917528 MPT917528 MFX917528 LWB917528 LMF917528 LCJ917528 KSN917528 KIR917528 JYV917528 JOZ917528 JFD917528 IVH917528 ILL917528 IBP917528 HRT917528 HHX917528 GYB917528 GOF917528 GEJ917528 FUN917528 FKR917528 FAV917528 EQZ917528 EHD917528 DXH917528 DNL917528 DDP917528 CTT917528 CJX917528 CAB917528 BQF917528 BGJ917528 AWN917528 AMR917528 ACV917528 SZ917528 JD917528 H917528 WVP851992 WLT851992 WBX851992 VSB851992 VIF851992 UYJ851992 UON851992 UER851992 TUV851992 TKZ851992 TBD851992 SRH851992 SHL851992 RXP851992 RNT851992 RDX851992 QUB851992 QKF851992 QAJ851992 PQN851992 PGR851992 OWV851992 OMZ851992 ODD851992 NTH851992 NJL851992 MZP851992 MPT851992 MFX851992 LWB851992 LMF851992 LCJ851992 KSN851992 KIR851992 JYV851992 JOZ851992 JFD851992 IVH851992 ILL851992 IBP851992 HRT851992 HHX851992 GYB851992 GOF851992 GEJ851992 FUN851992 FKR851992 FAV851992 EQZ851992 EHD851992 DXH851992 DNL851992 DDP851992 CTT851992 CJX851992 CAB851992 BQF851992 BGJ851992 AWN851992 AMR851992 ACV851992 SZ851992 JD851992 H851992 WVP786456 WLT786456 WBX786456 VSB786456 VIF786456 UYJ786456 UON786456 UER786456 TUV786456 TKZ786456 TBD786456 SRH786456 SHL786456 RXP786456 RNT786456 RDX786456 QUB786456 QKF786456 QAJ786456 PQN786456 PGR786456 OWV786456 OMZ786456 ODD786456 NTH786456 NJL786456 MZP786456 MPT786456 MFX786456 LWB786456 LMF786456 LCJ786456 KSN786456 KIR786456 JYV786456 JOZ786456 JFD786456 IVH786456 ILL786456 IBP786456 HRT786456 HHX786456 GYB786456 GOF786456 GEJ786456 FUN786456 FKR786456 FAV786456 EQZ786456 EHD786456 DXH786456 DNL786456 DDP786456 CTT786456 CJX786456 CAB786456 BQF786456 BGJ786456 AWN786456 AMR786456 ACV786456 SZ786456 JD786456 H786456 WVP720920 WLT720920 WBX720920 VSB720920 VIF720920 UYJ720920 UON720920 UER720920 TUV720920 TKZ720920 TBD720920 SRH720920 SHL720920 RXP720920 RNT720920 RDX720920 QUB720920 QKF720920 QAJ720920 PQN720920 PGR720920 OWV720920 OMZ720920 ODD720920 NTH720920 NJL720920 MZP720920 MPT720920 MFX720920 LWB720920 LMF720920 LCJ720920 KSN720920 KIR720920 JYV720920 JOZ720920 JFD720920 IVH720920 ILL720920 IBP720920 HRT720920 HHX720920 GYB720920 GOF720920 GEJ720920 FUN720920 FKR720920 FAV720920 EQZ720920 EHD720920 DXH720920 DNL720920 DDP720920 CTT720920 CJX720920 CAB720920 BQF720920 BGJ720920 AWN720920 AMR720920 ACV720920 SZ720920 JD720920 H720920 WVP655384 WLT655384 WBX655384 VSB655384 VIF655384 UYJ655384 UON655384 UER655384 TUV655384 TKZ655384 TBD655384 SRH655384 SHL655384 RXP655384 RNT655384 RDX655384 QUB655384 QKF655384 QAJ655384 PQN655384 PGR655384 OWV655384 OMZ655384 ODD655384 NTH655384 NJL655384 MZP655384 MPT655384 MFX655384 LWB655384 LMF655384 LCJ655384 KSN655384 KIR655384 JYV655384 JOZ655384 JFD655384 IVH655384 ILL655384 IBP655384 HRT655384 HHX655384 GYB655384 GOF655384 GEJ655384 FUN655384 FKR655384 FAV655384 EQZ655384 EHD655384 DXH655384 DNL655384 DDP655384 CTT655384 CJX655384 CAB655384 BQF655384 BGJ655384 AWN655384 AMR655384 ACV655384 SZ655384 JD655384 H655384 WVP589848 WLT589848 WBX589848 VSB589848 VIF589848 UYJ589848 UON589848 UER589848 TUV589848 TKZ589848 TBD589848 SRH589848 SHL589848 RXP589848 RNT589848 RDX589848 QUB589848 QKF589848 QAJ589848 PQN589848 PGR589848 OWV589848 OMZ589848 ODD589848 NTH589848 NJL589848 MZP589848 MPT589848 MFX589848 LWB589848 LMF589848 LCJ589848 KSN589848 KIR589848 JYV589848 JOZ589848 JFD589848 IVH589848 ILL589848 IBP589848 HRT589848 HHX589848 GYB589848 GOF589848 GEJ589848 FUN589848 FKR589848 FAV589848 EQZ589848 EHD589848 DXH589848 DNL589848 DDP589848 CTT589848 CJX589848 CAB589848 BQF589848 BGJ589848 AWN589848 AMR589848 ACV589848 SZ589848 JD589848 H589848 WVP524312 WLT524312 WBX524312 VSB524312 VIF524312 UYJ524312 UON524312 UER524312 TUV524312 TKZ524312 TBD524312 SRH524312 SHL524312 RXP524312 RNT524312 RDX524312 QUB524312 QKF524312 QAJ524312 PQN524312 PGR524312 OWV524312 OMZ524312 ODD524312 NTH524312 NJL524312 MZP524312 MPT524312 MFX524312 LWB524312 LMF524312 LCJ524312 KSN524312 KIR524312 JYV524312 JOZ524312 JFD524312 IVH524312 ILL524312 IBP524312 HRT524312 HHX524312 GYB524312 GOF524312 GEJ524312 FUN524312 FKR524312 FAV524312 EQZ524312 EHD524312 DXH524312 DNL524312 DDP524312 CTT524312 CJX524312 CAB524312 BQF524312 BGJ524312 AWN524312 AMR524312 ACV524312 SZ524312 JD524312 H524312 WVP458776 WLT458776 WBX458776 VSB458776 VIF458776 UYJ458776 UON458776 UER458776 TUV458776 TKZ458776 TBD458776 SRH458776 SHL458776 RXP458776 RNT458776 RDX458776 QUB458776 QKF458776 QAJ458776 PQN458776 PGR458776 OWV458776 OMZ458776 ODD458776 NTH458776 NJL458776 MZP458776 MPT458776 MFX458776 LWB458776 LMF458776 LCJ458776 KSN458776 KIR458776 JYV458776 JOZ458776 JFD458776 IVH458776 ILL458776 IBP458776 HRT458776 HHX458776 GYB458776 GOF458776 GEJ458776 FUN458776 FKR458776 FAV458776 EQZ458776 EHD458776 DXH458776 DNL458776 DDP458776 CTT458776 CJX458776 CAB458776 BQF458776 BGJ458776 AWN458776 AMR458776 ACV458776 SZ458776 JD458776 H458776 WVP393240 WLT393240 WBX393240 VSB393240 VIF393240 UYJ393240 UON393240 UER393240 TUV393240 TKZ393240 TBD393240 SRH393240 SHL393240 RXP393240 RNT393240 RDX393240 QUB393240 QKF393240 QAJ393240 PQN393240 PGR393240 OWV393240 OMZ393240 ODD393240 NTH393240 NJL393240 MZP393240 MPT393240 MFX393240 LWB393240 LMF393240 LCJ393240 KSN393240 KIR393240 JYV393240 JOZ393240 JFD393240 IVH393240 ILL393240 IBP393240 HRT393240 HHX393240 GYB393240 GOF393240 GEJ393240 FUN393240 FKR393240 FAV393240 EQZ393240 EHD393240 DXH393240 DNL393240 DDP393240 CTT393240 CJX393240 CAB393240 BQF393240 BGJ393240 AWN393240 AMR393240 ACV393240 SZ393240 JD393240 H393240 WVP327704 WLT327704 WBX327704 VSB327704 VIF327704 UYJ327704 UON327704 UER327704 TUV327704 TKZ327704 TBD327704 SRH327704 SHL327704 RXP327704 RNT327704 RDX327704 QUB327704 QKF327704 QAJ327704 PQN327704 PGR327704 OWV327704 OMZ327704 ODD327704 NTH327704 NJL327704 MZP327704 MPT327704 MFX327704 LWB327704 LMF327704 LCJ327704 KSN327704 KIR327704 JYV327704 JOZ327704 JFD327704 IVH327704 ILL327704 IBP327704 HRT327704 HHX327704 GYB327704 GOF327704 GEJ327704 FUN327704 FKR327704 FAV327704 EQZ327704 EHD327704 DXH327704 DNL327704 DDP327704 CTT327704 CJX327704 CAB327704 BQF327704 BGJ327704 AWN327704 AMR327704 ACV327704 SZ327704 JD327704 H327704 WVP262168 WLT262168 WBX262168 VSB262168 VIF262168 UYJ262168 UON262168 UER262168 TUV262168 TKZ262168 TBD262168 SRH262168 SHL262168 RXP262168 RNT262168 RDX262168 QUB262168 QKF262168 QAJ262168 PQN262168 PGR262168 OWV262168 OMZ262168 ODD262168 NTH262168 NJL262168 MZP262168 MPT262168 MFX262168 LWB262168 LMF262168 LCJ262168 KSN262168 KIR262168 JYV262168 JOZ262168 JFD262168 IVH262168 ILL262168 IBP262168 HRT262168 HHX262168 GYB262168 GOF262168 GEJ262168 FUN262168 FKR262168 FAV262168 EQZ262168 EHD262168 DXH262168 DNL262168 DDP262168 CTT262168 CJX262168 CAB262168 BQF262168 BGJ262168 AWN262168 AMR262168 ACV262168 SZ262168 JD262168 H262168 WVP196632 WLT196632 WBX196632 VSB196632 VIF196632 UYJ196632 UON196632 UER196632 TUV196632 TKZ196632 TBD196632 SRH196632 SHL196632 RXP196632 RNT196632 RDX196632 QUB196632 QKF196632 QAJ196632 PQN196632 PGR196632 OWV196632 OMZ196632 ODD196632 NTH196632 NJL196632 MZP196632 MPT196632 MFX196632 LWB196632 LMF196632 LCJ196632 KSN196632 KIR196632 JYV196632 JOZ196632 JFD196632 IVH196632 ILL196632 IBP196632 HRT196632 HHX196632 GYB196632 GOF196632 GEJ196632 FUN196632 FKR196632 FAV196632 EQZ196632 EHD196632 DXH196632 DNL196632 DDP196632 CTT196632 CJX196632 CAB196632 BQF196632 BGJ196632 AWN196632 AMR196632 ACV196632 SZ196632 JD196632 H196632 WVP131096 WLT131096 WBX131096 VSB131096 VIF131096 UYJ131096 UON131096 UER131096 TUV131096 TKZ131096 TBD131096 SRH131096 SHL131096 RXP131096 RNT131096 RDX131096 QUB131096 QKF131096 QAJ131096 PQN131096 PGR131096 OWV131096 OMZ131096 ODD131096 NTH131096 NJL131096 MZP131096 MPT131096 MFX131096 LWB131096 LMF131096 LCJ131096 KSN131096 KIR131096 JYV131096 JOZ131096 JFD131096 IVH131096 ILL131096 IBP131096 HRT131096 HHX131096 GYB131096 GOF131096 GEJ131096 FUN131096 FKR131096 FAV131096 EQZ131096 EHD131096 DXH131096 DNL131096 DDP131096 CTT131096 CJX131096 CAB131096 BQF131096 BGJ131096 AWN131096 AMR131096 ACV131096 SZ131096 JD131096 H131096 WVP65560 WLT65560 WBX65560 VSB65560 VIF65560 UYJ65560 UON65560 UER65560 TUV65560 TKZ65560 TBD65560 SRH65560 SHL65560 RXP65560 RNT65560 RDX65560 QUB65560 QKF65560 QAJ65560 PQN65560 PGR65560 OWV65560 OMZ65560 ODD65560 NTH65560 NJL65560 MZP65560 MPT65560 MFX65560 LWB65560 LMF65560 LCJ65560 KSN65560 KIR65560 JYV65560 JOZ65560 JFD65560 IVH65560 ILL65560 IBP65560 HRT65560 HHX65560 GYB65560 GOF65560 GEJ65560 FUN65560 FKR65560 FAV65560 EQZ65560 EHD65560 DXH65560 DNL65560 DDP65560 CTT65560 CJX65560 CAB65560 BQF65560 BGJ65560 AWN65560 AMR65560 ACV65560 SZ65560 JD65560 H65560 WVP24 WLT24 WBX24 VSB24 VIF24 UYJ24 UON24 UER24 TUV24 TKZ24 TBD24 SRH24 SHL24 RXP24 RNT24 RDX24 QUB24 QKF24 QAJ24 PQN24 PGR24 OWV24 OMZ24 ODD24 NTH24 NJL24 MZP24 MPT24 MFX24 LWB24 LMF24 LCJ24 KSN24 KIR24 JYV24 JOZ24 JFD24 IVH24 ILL24 IBP24 HRT24 HHX24 GYB24 GOF24 GEJ24 FUN24 FKR24 FAV24 EQZ24 EHD24 DXH24 DNL24 DDP24 CTT24 CJX24 CAB24 BQF24 BGJ24 AWN24 AMR24 ACV24 SZ24 JD24" xr:uid="{33CDA140-E2A7-44D8-8FB9-A8B73A70AC80}">
      <formula1>$B$235:$B$236</formula1>
    </dataValidation>
  </dataValidations>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autoPict="0" r:id="rId4">
            <anchor moveWithCells="1">
              <from>
                <xdr:col>1</xdr:col>
                <xdr:colOff>38100</xdr:colOff>
                <xdr:row>0</xdr:row>
                <xdr:rowOff>0</xdr:rowOff>
              </from>
              <to>
                <xdr:col>2</xdr:col>
                <xdr:colOff>571500</xdr:colOff>
                <xdr:row>1</xdr:row>
                <xdr:rowOff>152400</xdr:rowOff>
              </to>
            </anchor>
          </controlPr>
        </control>
      </mc:Choice>
      <mc:Fallback>
        <control shapeId="1025" r:id="rId3"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B0B926-10D5-464D-82FC-70EDCB3E64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2nd level </vt:lpstr>
      <vt:lpstr>11 OptionsNLN</vt:lpstr>
      <vt:lpstr>115 FuturesPrice</vt:lpstr>
      <vt:lpstr>12 SABRBlackVol</vt:lpstr>
      <vt:lpstr>13 SABROption</vt:lpstr>
      <vt:lpstr>14 SABRCalibrate</vt:lpstr>
      <vt:lpstr>FuturesPrice</vt:lpstr>
      <vt:lpstr>OptionsNLN</vt:lpstr>
      <vt:lpstr>SABRBlackVol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Chaney</dc:creator>
  <cp:lastModifiedBy>Jason Chaney</cp:lastModifiedBy>
  <dcterms:created xsi:type="dcterms:W3CDTF">2022-03-12T02:03:26Z</dcterms:created>
  <dcterms:modified xsi:type="dcterms:W3CDTF">2026-07-18T00:02:32Z</dcterms:modified>
</cp:coreProperties>
</file>